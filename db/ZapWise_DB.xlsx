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tables/table10.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12.xml" ContentType="application/vnd.openxmlformats-officedocument.spreadsheetml.table+xml"/>
  <Override PartName="/xl/tables/table3.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5.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5.xml" ContentType="application/vnd.openxmlformats-officedocument.spreadsheetml.table+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ources" sheetId="2" state="visible" r:id="rId4"/>
    <sheet name="Polymers" sheetId="3" state="visible" r:id="rId5"/>
    <sheet name="Substances" sheetId="4" state="visible" r:id="rId6"/>
    <sheet name="Groups" sheetId="5" state="visible" r:id="rId7"/>
    <sheet name="Alt_References" sheetId="6" state="visible" r:id="rId8"/>
    <sheet name="Contents" sheetId="7" state="visible" r:id="rId9"/>
    <sheet name="Measured" sheetId="8" state="visible" r:id="rId10"/>
    <sheet name="Containers" sheetId="9" state="visible" r:id="rId11"/>
    <sheet name="FoodClasses" sheetId="10" state="visible" r:id="rId12"/>
    <sheet name="KpfModel" sheetId="11" state="visible" r:id="rId13"/>
    <sheet name="ModelParams" sheetId="12" state="visible" r:id="rId14"/>
    <sheet name="BodyWeights" sheetId="13" state="visible" r:id="rId15"/>
    <sheet name="Products" sheetId="14" state="visible" r:id="rId16"/>
    <sheet name="RecipeSteps" sheetId="15" state="visible" r:id="rId17"/>
    <sheet name="WattTables" sheetId="16" state="visible" r:id="rId18"/>
    <sheet name="Literature" sheetId="17" state="visible" r:id="rId19"/>
    <sheet name="Validation" sheetId="18" state="visible" r:id="rId20"/>
    <sheet name="Models" sheetId="19" state="visible" r:id="rId21"/>
    <sheet name="Student_Checklist" sheetId="20" state="visible" r:id="rId22"/>
  </sheet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H2" authorId="0">
      <text>
        <r>
          <rPr>
            <sz val="10"/>
            <rFont val="Arial"/>
            <family val="2"/>
          </rPr>
          <t xml:space="preserve">0.031 cm measured on one CPET tray by Haldimann 2013 [S02].</t>
        </r>
      </text>
    </comment>
    <comment ref="H3" authorId="0">
      <text>
        <r>
          <rPr>
            <sz val="10"/>
            <rFont val="Arial"/>
            <family val="2"/>
          </rPr>
          <t xml:space="preserve">ASSUMPTION. Measure real cups with calipers.</t>
        </r>
      </text>
    </comment>
    <comment ref="K2" authorId="0">
      <text>
        <r>
          <rPr>
            <sz val="10"/>
            <rFont val="Arial"/>
            <family val="2"/>
          </rPr>
          <t xml:space="preserve">Geometric estimate: 300 g in a 17 x 12 cm tray is 1.5 cm deep; base 204 + wetted wall 85 = about 290 cm2. ASSUMPTION.</t>
        </r>
      </text>
    </comment>
    <comment ref="K3" authorId="0">
      <text>
        <r>
          <rPr>
            <sz val="10"/>
            <rFont val="Arial"/>
            <family val="2"/>
          </rPr>
          <t xml:space="preserve">Between a bowl (about 210 cm2) and a tray (about 290 cm2) for 300 g. ASSUMPTION.</t>
        </r>
      </text>
    </comment>
  </commentList>
</comments>
</file>

<file path=xl/sharedStrings.xml><?xml version="1.0" encoding="utf-8"?>
<sst xmlns="http://schemas.openxmlformats.org/spreadsheetml/2006/main" count="5117" uniqueCount="2201">
  <si>
    <t xml:space="preserve">ZapWise reference database</t>
  </si>
  <si>
    <t xml:space="preserve">Purpose</t>
  </si>
  <si>
    <t xml:space="preserve">Numbers behind the ZapWise migration estimate. Edit here, then run export_assets.py to refresh the app JSON.</t>
  </si>
  <si>
    <t xml:space="preserve">Compiled</t>
  </si>
  <si>
    <t xml:space="preserve">2026-10-14</t>
  </si>
  <si>
    <t xml:space="preserve">Blue text</t>
  </si>
  <si>
    <t xml:space="preserve">Typed values. Change these when you have a better measurement or source.</t>
  </si>
  <si>
    <t xml:space="preserve">Black text</t>
  </si>
  <si>
    <t xml:space="preserve">Formulas. Do not overwrite.</t>
  </si>
  <si>
    <t xml:space="preserve">Status VERIFIED</t>
  </si>
  <si>
    <t xml:space="preserve">Number read on the cited page.</t>
  </si>
  <si>
    <t xml:space="preserve">Status SECONDARY</t>
  </si>
  <si>
    <t xml:space="preserve">Distributor page, Wikipedia or a similar secondary page.</t>
  </si>
  <si>
    <t xml:space="preserve">Status DERIVED</t>
  </si>
  <si>
    <t xml:space="preserve">Computed from verified inputs; the note shows how.</t>
  </si>
  <si>
    <t xml:space="preserve">Status ASSUMPTION</t>
  </si>
  <si>
    <t xml:space="preserve">A modelling choice. It must be stated in the report and tested where possible.</t>
  </si>
  <si>
    <t xml:space="preserve">Status UNVERIFIED</t>
  </si>
  <si>
    <t xml:space="preserve">Commonly cited but not confirmed on a primary page. Replace before the final submission if you can.</t>
  </si>
  <si>
    <t xml:space="preserve">Sources</t>
  </si>
  <si>
    <t xml:space="preserve">The Sources sheet numbers every reference (S01...). Other sheets cite those numbers.</t>
  </si>
  <si>
    <t xml:space="preserve">Checklist</t>
  </si>
  <si>
    <t xml:space="preserve">Student_Checklist lists the measurements that would replace the weakest assumptions.</t>
  </si>
  <si>
    <t xml:space="preserve">Sheets</t>
  </si>
  <si>
    <t xml:space="preserve">Sources, Polymers, Substances, Groups, Alt_References, Contents, Measured, Containers, FoodClasses, KpfModel, ModelParams, BodyWeights, Products, RecipeSteps, WattTables, Literature, Validation, Models, Student_Checklist</t>
  </si>
  <si>
    <t xml:space="preserve">ID</t>
  </si>
  <si>
    <t xml:space="preserve">Citation</t>
  </si>
  <si>
    <t xml:space="preserve">URL</t>
  </si>
  <si>
    <t xml:space="preserve">Type</t>
  </si>
  <si>
    <t xml:space="preserve">Accessed</t>
  </si>
  <si>
    <t xml:space="preserve">S01</t>
  </si>
  <si>
    <t xml:space="preserve">Simoneau C. (ed.) et al. (2010). Applicability of generally recognised diffusion models for the estimation of specific migration in support of EU Directive 2002/72/EC. JRC59476, EUR 24514 EN.</t>
  </si>
  <si>
    <t xml:space="preserve">https://publications.jrc.ec.europa.eu/repository/bitstream/JRC59476/reqno_jrc59476_mathmod_v10_cs_2010_09_24_final.pdf%5B1%5D.pdf</t>
  </si>
  <si>
    <t xml:space="preserve">report</t>
  </si>
  <si>
    <t xml:space="preserve">S02</t>
  </si>
  <si>
    <t xml:space="preserve">Haldimann M. et al. (2013). Exposure to antimony from polyethylene terephthalate (PET) trays used in ready-to-eat meals. Food Addit Contam A 30(3):587-598. doi:10.1080/19440049.2012.751631</t>
  </si>
  <si>
    <t xml:space="preserve">https://pmc.ncbi.nlm.nih.gov/articles/PMC3613973/</t>
  </si>
  <si>
    <t xml:space="preserve">paper</t>
  </si>
  <si>
    <t xml:space="preserve">S03</t>
  </si>
  <si>
    <t xml:space="preserve">Liu J-M. et al. (2020). Phthalate esters in commercial disposable lunch boxes (title to confirm). Food Sci Nutr. doi:10.1002/fsn3.1863</t>
  </si>
  <si>
    <t xml:space="preserve">https://pmc.ncbi.nlm.nih.gov/articles/PMC7590312</t>
  </si>
  <si>
    <t xml:space="preserve">S04</t>
  </si>
  <si>
    <t xml:space="preserve">Lan M., Li H., Ying G. (2022). Phthalate esters in PP food containers and their migration (title to confirm). J South China Normal Univ (Nat Sci) 54(2):52-62. doi:10.6054/j.jscnun.2022026</t>
  </si>
  <si>
    <t xml:space="preserve">https://doi.org/10.6054/j.jscnun.2022026</t>
  </si>
  <si>
    <t xml:space="preserve">S05</t>
  </si>
  <si>
    <t xml:space="preserve">Moreira M.A., Andre L.C., Cardeal Z.L. (2014). Analysis of phthalate migration to food simulants in plastic containers during microwave operations. IJERPH 11(1):507-526. doi:10.3390/ijerph110100507</t>
  </si>
  <si>
    <t xml:space="preserve">https://www.mdpi.com/1660-4601/11/1/507/html</t>
  </si>
  <si>
    <t xml:space="preserve">S06</t>
  </si>
  <si>
    <t xml:space="preserve">Review of antimony in PET bottles (2023, title to confirm). Molecules 28(20):7166.</t>
  </si>
  <si>
    <t xml:space="preserve">https://www.mdpi.com/1420-3049/28/20/7166</t>
  </si>
  <si>
    <t xml:space="preserve">S07</t>
  </si>
  <si>
    <t xml:space="preserve">EFSA CEP Panel (2019). Update of the risk assessment of DBP, BBP, DEHP, DINP and DIDP for use in food contact materials. EFSA Journal 17(12):5838.</t>
  </si>
  <si>
    <t xml:space="preserve">https://doaj.org/article/cad5a51311ba4452b9b5807ddfb881a9</t>
  </si>
  <si>
    <t xml:space="preserve">agency</t>
  </si>
  <si>
    <t xml:space="preserve">S08</t>
  </si>
  <si>
    <t xml:space="preserve">Commission Regulation (EU) 2023/1442 amending Annex I to Regulation (EU) No 10/2011 (phthalates, group restriction 36).</t>
  </si>
  <si>
    <t xml:space="preserve">https://eur-lex.europa.eu/legal-content/EN/TXT/HTML/?uri=CELEX:32023R1442</t>
  </si>
  <si>
    <t xml:space="preserve">regulation</t>
  </si>
  <si>
    <t xml:space="preserve">S09</t>
  </si>
  <si>
    <t xml:space="preserve">WHO (2022). Antimony in drinking-water, chemical fact sheet (TDI 6 ug/kg bw/day, 2003 assessment).</t>
  </si>
  <si>
    <t xml:space="preserve">https://cdn.who.int/media/docs/default-source/wash-documents/water-safety-and-quality/chemical-fact-sheets-2022/antimony-fact-sheet-2022.pdf</t>
  </si>
  <si>
    <t xml:space="preserve">S10</t>
  </si>
  <si>
    <t xml:space="preserve">US EPA IRIS. Di(2-ethylhexyl)phthalate (DEHP), oral RfD 0.02 mg/kg-day (1987).</t>
  </si>
  <si>
    <t xml:space="preserve">https://iris.epa.gov/ChemicalLanding/&amp;substance_nmbr=14</t>
  </si>
  <si>
    <t xml:space="preserve">S11</t>
  </si>
  <si>
    <t xml:space="preserve">EFSA Scientific Committee (2012). Default values for body weight (adult 70 kg, toddler 12 kg, infant 5 kg).</t>
  </si>
  <si>
    <t xml:space="preserve">https://www.efsa.europa.eu/en/press/news/120307a</t>
  </si>
  <si>
    <t xml:space="preserve">S12</t>
  </si>
  <si>
    <t xml:space="preserve">EFSA CEP Panel (2023). Re-evaluation of bisphenol A, TDI 0.2 ng/kg bw/day. EFSA Journal 21(4):6857.</t>
  </si>
  <si>
    <t xml:space="preserve">https://doaj.org/article/baf196cb09d54c4db530f4b44f9d37b5</t>
  </si>
  <si>
    <t xml:space="preserve">S13</t>
  </si>
  <si>
    <t xml:space="preserve">ATSDR. Toxicological Profile for DEHP, chapter 4 (MW, log Kow).</t>
  </si>
  <si>
    <t xml:space="preserve">https://www.atsdr.cdc.gov/ToxProfiles/tp9-c4.pdf</t>
  </si>
  <si>
    <t xml:space="preserve">S14</t>
  </si>
  <si>
    <t xml:space="preserve">Health Canada. Draft screening assessment, phthalate substance grouping, Appendix A (log Kow).</t>
  </si>
  <si>
    <t xml:space="preserve">https://www.canada.ca/en/environment-climate-change/services/evaluating-existing-substances/draft-screening-assessment-phthalate-substance-grouping-appendices.html</t>
  </si>
  <si>
    <t xml:space="preserve">S15</t>
  </si>
  <si>
    <t xml:space="preserve">ATSDR. Toxicological Profile for Styrene, chapter 4.</t>
  </si>
  <si>
    <t xml:space="preserve">https://www.atsdr.cdc.gov/ToxProfiles/tp53-c4.pdf</t>
  </si>
  <si>
    <t xml:space="preserve">S16</t>
  </si>
  <si>
    <t xml:space="preserve">Sabert. Black 13 in round CPET tray product page (400 F up to 30 min, microwave 3-5 min).</t>
  </si>
  <si>
    <t xml:space="preserve">https://sabert.com/products/black-13-round-cpet-tray</t>
  </si>
  <si>
    <t xml:space="preserve">manufacturer</t>
  </si>
  <si>
    <t xml:space="preserve">S17</t>
  </si>
  <si>
    <t xml:space="preserve">Pactiv Evergreen P8008Z CPET tray, distributor listing (-20 F to 400 F).</t>
  </si>
  <si>
    <t xml:space="preserve">https://championproducts.com/products/pactiv-evergreen-17-oz-rectangular-cpet-tray-black-630-count-p8008z</t>
  </si>
  <si>
    <t xml:space="preserve">distributor</t>
  </si>
  <si>
    <t xml:space="preserve">S18</t>
  </si>
  <si>
    <t xml:space="preserve">A&amp;C Plastics. Polypropylene properties datasheet (density, melting point, service temperature).</t>
  </si>
  <si>
    <t xml:space="preserve">https://www.acplasticsinc.com/media/Polypropylene%20Properties.pdf</t>
  </si>
  <si>
    <t xml:space="preserve">datasheet</t>
  </si>
  <si>
    <t xml:space="preserve">S19</t>
  </si>
  <si>
    <t xml:space="preserve">Inline Plastics. Material specifications (2023 catalog; PP 0-220 F, OPS 20-170 F, PET 0-140 F).</t>
  </si>
  <si>
    <t xml:space="preserve">https://www.inlineplastics.com/material-specs/ip_productcatalog2023_materialspecs/</t>
  </si>
  <si>
    <t xml:space="preserve">S20</t>
  </si>
  <si>
    <t xml:space="preserve">Spartech. APET technical datasheet (HDT 68.9 C at 66 psi, SG 1.33).</t>
  </si>
  <si>
    <t xml:space="preserve">https://www.spartech.com/media/documents/SPA221013-APET-Tech-Data-Sheet.pdf</t>
  </si>
  <si>
    <t xml:space="preserve">S21</t>
  </si>
  <si>
    <t xml:space="preserve">designerdata.nl. LDPE and polystyrene material pages (service temperatures).</t>
  </si>
  <si>
    <t xml:space="preserve">https://designerdata.nl/materials/plastics/thermo-plastics/low-density-polyethylene</t>
  </si>
  <si>
    <t xml:space="preserve">secondary</t>
  </si>
  <si>
    <t xml:space="preserve">S22</t>
  </si>
  <si>
    <t xml:space="preserve">USDA FSIS (rev. 2011). Cooking Safely in the Microwave Oven (GPO archived copy).</t>
  </si>
  <si>
    <t xml:space="preserve">https://www.govinfo.gov/content/pkg/GOVPUB-A110-PURL-gpo127402/pdf/GOVPUB-A110-PURL-gpo127402.pdf</t>
  </si>
  <si>
    <t xml:space="preserve">S23</t>
  </si>
  <si>
    <t xml:space="preserve">USDA FSIS (2024). Salmonella in not-ready-to-eat breaded stuffed chicken products. Federal Register 89(85), docket FSIS-2022-0013.</t>
  </si>
  <si>
    <t xml:space="preserve">https://www.govinfo.gov/content/pkg/FR-2024-05-01/html/2024-09393.htm</t>
  </si>
  <si>
    <t xml:space="preserve">S24</t>
  </si>
  <si>
    <t xml:space="preserve">Marshall K.E. et al. (2022). Salmonella outbreak linked to frozen raw breaded stuffed chicken. MMWR 71:1511-1516.</t>
  </si>
  <si>
    <t xml:space="preserve">https://www.cdc.gov/mmwr/volumes/71/wr/mm7148a2.htm</t>
  </si>
  <si>
    <t xml:space="preserve">S25</t>
  </si>
  <si>
    <t xml:space="preserve">Conagra Brands. Microwave safety (wattage, time-to-boil test, ovens of 700 W or less only heat).</t>
  </si>
  <si>
    <t xml:space="preserve">https://www.conagrabrands.com/our-company/corporate-social-responsibility/food-safety/microwave-safety</t>
  </si>
  <si>
    <t xml:space="preserve">S26</t>
  </si>
  <si>
    <t xml:space="preserve">IMPI (2017). The Wave, Jan/Feb 2017, President's message (oven output dispersion about +/-15%).</t>
  </si>
  <si>
    <t xml:space="preserve">https://impi.org/wp-content/uploads/2019/09/WAVE-Jan-Feb-2017_Final.pdf</t>
  </si>
  <si>
    <t xml:space="preserve">S27</t>
  </si>
  <si>
    <t xml:space="preserve">Schwartzberg H., Singh R.P., Sarkar A. (2007). Freezing and thawing of foods, computation methods and thermal properties correlation. WIT Press.</t>
  </si>
  <si>
    <t xml:space="preserve">https://www.witpress.com/Secure/elibrary/papers/9781853129322/9781853129322003FU1.pdf</t>
  </si>
  <si>
    <t xml:space="preserve">book</t>
  </si>
  <si>
    <t xml:space="preserve">S28</t>
  </si>
  <si>
    <t xml:space="preserve">Jung H., Lee M.G., Yoon W.B. (2022). Microwave heating of pork patties in a plastic container. Processes 10(11):2382.</t>
  </si>
  <si>
    <t xml:space="preserve">https://www.mdpi.com/2227-9717/10/11/2382</t>
  </si>
  <si>
    <t xml:space="preserve">S29</t>
  </si>
  <si>
    <t xml:space="preserve">Mahmoud E.A.E.-M. et al. (2009). Czech J Food Sci 27 (Spec. Issue):S173-S177 (oil temperatures during heating).</t>
  </si>
  <si>
    <t xml:space="preserve">https://www.agriculturejournals.cz/pdfs/cjf/2009/10/27.pdf</t>
  </si>
  <si>
    <t xml:space="preserve">S30</t>
  </si>
  <si>
    <t xml:space="preserve">Centre for Food Safety Hong Kong (2005). Disposable plastic containers for take-away meals.</t>
  </si>
  <si>
    <t xml:space="preserve">https://www.cfs.gov.hk/english/programme/programme_rafs/programme_rafs_fc_01_03_dp.html</t>
  </si>
  <si>
    <t xml:space="preserve">S31</t>
  </si>
  <si>
    <t xml:space="preserve">Commission Regulation (EU) No 10/2011 on plastic materials intended to come into contact with food (consolidated).</t>
  </si>
  <si>
    <t xml:space="preserve">https://eur-lex.europa.eu/legal-content/EN/TXT/HTML/?uri=CELEX:02011R0010-20200923</t>
  </si>
  <si>
    <t xml:space="preserve">S32</t>
  </si>
  <si>
    <t xml:space="preserve">Faerch 1267-1A CPET tray 985 ml, distributor listing (29 g, 267 x 178 x 40 mm).</t>
  </si>
  <si>
    <t xml:space="preserve">https://www.tingstad.com/se-en/foodservice/food-containers/supermarket-trays/tray-faerch-1267-1a-c-pet-black-985ml-267x178x40mm-33312671301</t>
  </si>
  <si>
    <t xml:space="preserve">S33</t>
  </si>
  <si>
    <t xml:space="preserve">Huang L., Jolliet O. (2019). A combined QPPR for packaging-food and solid material-water partition coefficients. Sci Total Environ 658:493-500.</t>
  </si>
  <si>
    <t xml:space="preserve">https://doi.org/10.1016/j.scitotenv.2018.12.062</t>
  </si>
  <si>
    <t xml:space="preserve">S34</t>
  </si>
  <si>
    <t xml:space="preserve">Vaferi B. et al. (2025). Sci Rep 15:7806, Supplementary Table S1 (1,847 log K records).</t>
  </si>
  <si>
    <t xml:space="preserve">https://media.springernature.com/original/springer-static/esm/art%3A10.1038%2Fs41598-025-92459-x/MediaObjects/41598_2025_92459_MOESM1_ESM.pdf</t>
  </si>
  <si>
    <t xml:space="preserve">S35</t>
  </si>
  <si>
    <t xml:space="preserve">Geueke B. et al. (2022). Systematic evidence on migrating and extractable food contact chemicals (FCCmigex). Crit Rev Food Sci Nutr.</t>
  </si>
  <si>
    <t xml:space="preserve">https://bura.brunel.ac.uk/bitstream/2438/25123/1/FullText.pdf</t>
  </si>
  <si>
    <t xml:space="preserve">S36</t>
  </si>
  <si>
    <t xml:space="preserve">Hussain K.A. et al. (2023). Assessing the release of microplastics and nanoplastics from plastic containers and reusable food pouches. Environ Sci Technol 57:9782-9792.</t>
  </si>
  <si>
    <t xml:space="preserve">https://digitalcommons.unl.edu/civilengfacpub/298</t>
  </si>
  <si>
    <t xml:space="preserve">S37</t>
  </si>
  <si>
    <t xml:space="preserve">Fasano E. et al. (2012). Migration of phthalates, alkylphenols, bisphenol A and DEHA from food packaging. Food Control 27:132-138.</t>
  </si>
  <si>
    <t xml:space="preserve">https://www.iris.unina.it/retrieve/handle/11588/469035/52932/Migration%20of%20phthalates%2C.pdf</t>
  </si>
  <si>
    <t xml:space="preserve">S38</t>
  </si>
  <si>
    <t xml:space="preserve">Kawamura Y. et al. (2000). Antioxidants in PP food contact products. J Food Hyg Soc Japan 41:154-161.</t>
  </si>
  <si>
    <t xml:space="preserve">https://hero.epa.gov/hero/index.cfm/reference/details/reference_id/1325732</t>
  </si>
  <si>
    <t xml:space="preserve">S39</t>
  </si>
  <si>
    <t xml:space="preserve">BfR (2025). New EFSA assessment, no evidence of genomic damage from styrene in food packaging.</t>
  </si>
  <si>
    <t xml:space="preserve">https://www.bfr.bund.de/en/notification/new-efsa-assessment-no-evidence-of-genomic-damage-from-styrene-in-food-packaging/</t>
  </si>
  <si>
    <t xml:space="preserve">S40</t>
  </si>
  <si>
    <t xml:space="preserve">Brandsch R. et al. (2022). Molecules 27:121 (EU default partition coefficients 1 and 1000).</t>
  </si>
  <si>
    <t xml:space="preserve">https://doi.org/10.3390/molecules27010121</t>
  </si>
  <si>
    <t xml:space="preserve">S41</t>
  </si>
  <si>
    <t xml:space="preserve">Fraunhofer IVV. Prediction of diffusion coefficients (PET A_P' 3.1 / 6.4, tau 1577).</t>
  </si>
  <si>
    <t xml:space="preserve">https://www.ivv.fraunhofer.de/content/dam/ivv/en/documents/Forschungsfelder/Produktsicherheit-und-analytik/Prediction_of_diffusion_coefficients.pdf</t>
  </si>
  <si>
    <t xml:space="preserve">S42</t>
  </si>
  <si>
    <t xml:space="preserve">Housova J., Hoke K. (2002). Microwave heating, the influence of oven and load parameters. Czech J Food Sci 20(3):117-124.</t>
  </si>
  <si>
    <t xml:space="preserve">https://cjfs.agriculturejournals.cz/pdfs/cjf/2002/03/06.pdf</t>
  </si>
  <si>
    <t xml:space="preserve">S43</t>
  </si>
  <si>
    <t xml:space="preserve">Cai R., Mokwena Nthoiwa K.K., Ge C. Migration from microwaveable containers. J Applied Packaging Research (container thickness PS 1.7, PP 1.2, PET 0.5 mm).</t>
  </si>
  <si>
    <t xml:space="preserve">https://repository.rit.edu/cgi/viewcontent.cgi?article=1004&amp;context=japr</t>
  </si>
  <si>
    <t xml:space="preserve">S44</t>
  </si>
  <si>
    <t xml:space="preserve">JennAir product help. Can metal or aluminum foil be used in the microwave.</t>
  </si>
  <si>
    <t xml:space="preserve">https://producthelp.jennair.com/Cooking/Microwaves/Product_Info_new/Product_Information/Can_Metal_or_Aluminum_Foil_be_Used_in_the_Microwave</t>
  </si>
  <si>
    <t xml:space="preserve">S45</t>
  </si>
  <si>
    <t xml:space="preserve">UC Berkeley EHS. Microwave oven safety guidelines.</t>
  </si>
  <si>
    <t xml:space="preserve">https://ehs.berkeley.edu/node/1128</t>
  </si>
  <si>
    <t xml:space="preserve">S46</t>
  </si>
  <si>
    <t xml:space="preserve">SmartLabel (Label Insight) product label transcriptions (Conagra, B&amp;G Foods brands).</t>
  </si>
  <si>
    <t xml:space="preserve">https://smartlabel.labelinsight.com/</t>
  </si>
  <si>
    <t xml:space="preserve">label</t>
  </si>
  <si>
    <t xml:space="preserve">S47</t>
  </si>
  <si>
    <t xml:space="preserve">Thung G., Yang M. (2017). TrashNet dataset (MIT License).</t>
  </si>
  <si>
    <t xml:space="preserve">https://github.com/garythung/trashnet</t>
  </si>
  <si>
    <t xml:space="preserve">dataset</t>
  </si>
  <si>
    <t xml:space="preserve">S48</t>
  </si>
  <si>
    <t xml:space="preserve">Sandler M. et al. (2018). MobileNetV2: inverted residuals and linear bottlenecks. CVPR. ImageNet weights via keras-applications mirror.</t>
  </si>
  <si>
    <t xml:space="preserve">https://github.com/JonathanCMitchell/mobilenet_v2_keras</t>
  </si>
  <si>
    <t xml:space="preserve">S49</t>
  </si>
  <si>
    <t xml:space="preserve">Wikipedia. Polyethylene terephthalate (Tg 67-81 C, density) and Polystyrene (Tg about 100 C).</t>
  </si>
  <si>
    <t xml:space="preserve">https://en.wikipedia.org/wiki/Polyethylene_terephthalate</t>
  </si>
  <si>
    <t xml:space="preserve">S50</t>
  </si>
  <si>
    <t xml:space="preserve">Panasonic NN-S554MF service manual, output power check (1 L water, 1 min).</t>
  </si>
  <si>
    <t xml:space="preserve">https://www.e-service.css.panasonic.co.jp/Panasonic_ServiceManual(Global%202011)/OT/NN-S554MF/SIMP/s0302000000.html</t>
  </si>
  <si>
    <t xml:space="preserve">S51</t>
  </si>
  <si>
    <t xml:space="preserve">Mohery M. et al. (2025). Metals released from paper cups into hot water (title to confirm). Toxics 13(8):626.</t>
  </si>
  <si>
    <t xml:space="preserve">https://www.mdpi.com/2305-6304/13/8/626</t>
  </si>
  <si>
    <t xml:space="preserve">S52</t>
  </si>
  <si>
    <t xml:space="preserve">EFSA CONTAM Panel (2010). Scientific Opinion on lead in food. EFSA Journal 8(4):1570 (BMDL01 0.50 ug/kg bw/day, PTWI withdrawn).</t>
  </si>
  <si>
    <t xml:space="preserve">https://www.efsa.europa.eu/en/efsajournal/pub/1570</t>
  </si>
  <si>
    <t xml:space="preserve">S53</t>
  </si>
  <si>
    <t xml:space="preserve">Markley L. et al. (2021). Updated safety assessment of Irgafos 168 used in food contact (ADI 1 mg/kg bw/day). FDA Science Forum.</t>
  </si>
  <si>
    <t xml:space="preserve">https://www.fda.gov/science-research/fda-science-forum/updated-safety-assessment-tris24-di-tert-butylphenyl-phosphite-irgafos-168-used-food-contact</t>
  </si>
  <si>
    <t xml:space="preserve">S54</t>
  </si>
  <si>
    <t xml:space="preserve">Antioxidants and UV stabilisers in polypropylene food packaging films by HPLC (Jinan University group; Irgafos 168 166-845 mg/kg in 6 films).</t>
  </si>
  <si>
    <t xml:space="preserve">https://yadda.icm.edu.pl/baztech/element/bwmeta1.element.baztech-05eacdae-bfc4-4dd7-8309-e22306ec7fc5</t>
  </si>
  <si>
    <t xml:space="preserve">S55</t>
  </si>
  <si>
    <t xml:space="preserve">Su J.M., Wolak P.Z. (Pliant LLC). US 7,812,293 B2, Freezable/microwavable packaging films and venting packages (steam bag layers).</t>
  </si>
  <si>
    <t xml:space="preserve">https://patents.google.com/patent/US7812293B2/en</t>
  </si>
  <si>
    <t xml:space="preserve">patent</t>
  </si>
  <si>
    <t xml:space="preserve">S56</t>
  </si>
  <si>
    <t xml:space="preserve">Idemitsu Unitech (2022). Retortable PP film exhibition sheet (PET 12 / NY 15 / PP 60 um, 135 C retort).</t>
  </si>
  <si>
    <t xml:space="preserve">https://www.idemitsu.com/en/iut/exhibition/2022_2_6.pdf</t>
  </si>
  <si>
    <t xml:space="preserve">S57</t>
  </si>
  <si>
    <t xml:space="preserve">Ali A.A. et al. (2002). Properties of indigenous and imported retort pouches (CPP sealant 75-87.5 um). CIFT.</t>
  </si>
  <si>
    <t xml:space="preserve">https://drs.cift.res.in/items/0c9c2718-82d8-40e5-a25f-7244b096cc94/full</t>
  </si>
  <si>
    <t xml:space="preserve">S58</t>
  </si>
  <si>
    <t xml:space="preserve">Guan L. et al. (2021). Primary aromatic amines from PA/CPP retort pouches. Food Science 42(20):292-298.</t>
  </si>
  <si>
    <t xml:space="preserve">https://www.spkx.net.cn/EN/10.7506/spkx1002-6630-20200917-227</t>
  </si>
  <si>
    <t xml:space="preserve">S59</t>
  </si>
  <si>
    <t xml:space="preserve">Metsa Board. Pro FSB Cup 1PE cupstock datasheet (PE coating 15 g/m2).</t>
  </si>
  <si>
    <t xml:space="preserve">https://www.metsagroup.com/contentassets/dc3b692dd03f4d5f876caf78d2b3fa41/metsaboard-pro-fsb-cup-1pe-0_15-en-iso.pdf</t>
  </si>
  <si>
    <t xml:space="preserve">S60</t>
  </si>
  <si>
    <t xml:space="preserve">Holmen. PET barrier coating for ovenable paperboard (40 g/m2, about 29 um, up to 220 C).</t>
  </si>
  <si>
    <t xml:space="preserve">https://www.holmen.com/en/board-and-paper/products/paperboard/barriers-coatings/pet/</t>
  </si>
  <si>
    <t xml:space="preserve">S61</t>
  </si>
  <si>
    <t xml:space="preserve">EFSA CONTAM Panel (2020). Risk to human health related to the presence of PFAS in food (TWI 4.4 ng/kg bw/week). EFSA Journal 18(9):6223.</t>
  </si>
  <si>
    <t xml:space="preserve">https://doaj.org/article/884cab73a5874609932bfcb70da0b713</t>
  </si>
  <si>
    <t xml:space="preserve">S62</t>
  </si>
  <si>
    <t xml:space="preserve">Pedersen G.A., Granby K. et al. Danish project on PFAS in paper and board, migration from microwaved paper plates (Lerch et al. 2022 data).</t>
  </si>
  <si>
    <t xml:space="preserve">https://efsa.europa.eu/sites/default/files/2023-01/20%20%E2%80%93%20DK%2C%20Project%20on%20PFAS%20in%20paper%20and%20board%2C%20G.%20A.%20Pedersen.pdf</t>
  </si>
  <si>
    <t xml:space="preserve">S63</t>
  </si>
  <si>
    <t xml:space="preserve">US FDA (2024). PFAS used in grease-proofing agents for food packaging no longer being sold in the US.</t>
  </si>
  <si>
    <t xml:space="preserve">https://www.fda.gov/food/hfp-constituent-updates/fda-announces-pfas-used-grease-proofing-agents-food-packaging-no-longer-being-sold-us</t>
  </si>
  <si>
    <t xml:space="preserve">S64</t>
  </si>
  <si>
    <t xml:space="preserve">Begley T.H. et al. (2005). Perfluorochemicals in food contact paper, microwave popcorn bag migration (FDA study).</t>
  </si>
  <si>
    <t xml:space="preserve">https://static.ewg.org/reports/2022/pfas-fda-timeline/2005-FDA-study.pdf</t>
  </si>
  <si>
    <t xml:space="preserve">S65</t>
  </si>
  <si>
    <t xml:space="preserve">Salon (2023). Conagra statement on removing PFAS from Act II popcorn bags in 2022.</t>
  </si>
  <si>
    <t xml:space="preserve">https://salon.com/2023/03/31/your-microwave-popcorn-bags-are-full-of-harmful-forever-chemicals</t>
  </si>
  <si>
    <t xml:space="preserve">S66</t>
  </si>
  <si>
    <t xml:space="preserve">Packaging Dive (2024). Hot Pockets removes microwave crisping sleeves.</t>
  </si>
  <si>
    <t xml:space="preserve">https://www.packagingdive.com/news/packaging-innovations-hot-pockets-overtone-henkel/728876/</t>
  </si>
  <si>
    <t xml:space="preserve">S67</t>
  </si>
  <si>
    <t xml:space="preserve">UEA research portal (1992). Residues of the epoxy adhesive component BADGE in microwave susceptor foods.</t>
  </si>
  <si>
    <t xml:space="preserve">https://research-portal.uea.ac.uk/en/publications/detection-of-residues-of-the-epoxy-adhesive-component-bisphenol-a/</t>
  </si>
  <si>
    <t xml:space="preserve">S68</t>
  </si>
  <si>
    <t xml:space="preserve">Stouffer's FAQ (Nestle USA): trays without black pigment, single-serve trays changed to paper, pressed paper trays.</t>
  </si>
  <si>
    <t xml:space="preserve">https://www.goodnes.com/stouffers/faq</t>
  </si>
  <si>
    <t xml:space="preserve">S69</t>
  </si>
  <si>
    <t xml:space="preserve">Lean Cuisine FAQ (Nestle USA): plastic trays, times based on 1100 W.</t>
  </si>
  <si>
    <t xml:space="preserve">https://www.goodnes.com/lean-cuisine/faq</t>
  </si>
  <si>
    <t xml:space="preserve">S70</t>
  </si>
  <si>
    <t xml:space="preserve">Minute Rice FAQ: cups and bowls are plastic #5 and BPA free.</t>
  </si>
  <si>
    <t xml:space="preserve">https://minuterice.com/faqs/other/</t>
  </si>
  <si>
    <t xml:space="preserve">S71</t>
  </si>
  <si>
    <t xml:space="preserve">Anchor Packaging. Heat containers (black PP, microwave safe to 230 F, no oven rating).</t>
  </si>
  <si>
    <t xml:space="preserve">https://www.anchorpackaging.com/wp-content/uploads/2014/04/Ad_HeatContainers_Spread2.pdf</t>
  </si>
  <si>
    <t xml:space="preserve">S72</t>
  </si>
  <si>
    <t xml:space="preserve">ASTM D7611 resin identification code (number in a solid triangle; 1 PETE, 5 PP, 6 PS).</t>
  </si>
  <si>
    <t xml:space="preserve">https://sn.astm.org/node/1227/printable/print</t>
  </si>
  <si>
    <t xml:space="preserve">standard</t>
  </si>
  <si>
    <t xml:space="preserve">S73</t>
  </si>
  <si>
    <t xml:space="preserve">Genpak. Are containers microwave safe (PP generally yes, APET and foam no).</t>
  </si>
  <si>
    <t xml:space="preserve">https://www.genpak.com/environment/are-containers-microwave-safe/</t>
  </si>
  <si>
    <t xml:space="preserve">S74</t>
  </si>
  <si>
    <t xml:space="preserve">Sonoco. Trays and bowls (CPET, PP, APET; natural CPET tray for Stouffer's).</t>
  </si>
  <si>
    <t xml:space="preserve">https://sonoco.com/products/consumer-packaging/rigid-plastic-packaging/trays-bowls</t>
  </si>
  <si>
    <t xml:space="preserve">S75</t>
  </si>
  <si>
    <t xml:space="preserve">SGS (2021). California AB 1200 regulates PFAS in plant-fibre food packaging (100 ppm total organic fluorine).</t>
  </si>
  <si>
    <t xml:space="preserve">https://www.sgs.com/en/news/2021/10/safeguards-14021-california-usa-regulates-pfas-in-certain-food-packaging</t>
  </si>
  <si>
    <t xml:space="preserve">S76</t>
  </si>
  <si>
    <t xml:space="preserve">Huang L., Jolliet O. (2019). A combined quantitative property-property relationship (QPPR) for estimating packaging-food and solid material-water partition coefficients of organic compounds. Sci Total Environ 658:493-500. doi:10.1016/j.scitotenv.2018.12.062</t>
  </si>
  <si>
    <t xml:space="preserve">S77</t>
  </si>
  <si>
    <t xml:space="preserve">Ernstoff A.S., Fantke P., Huang L., Jolliet O. (2017). High-throughput migration modelling for estimating exposure to chemicals in food packaging in screening and prioritization tools. Food Chem Toxicol 109(1):428-438. doi:10.1016/j.fct.2017.09.024</t>
  </si>
  <si>
    <t xml:space="preserve">https://doi.org/10.1016/j.fct.2017.09.024</t>
  </si>
  <si>
    <t xml:space="preserve">S78</t>
  </si>
  <si>
    <t xml:space="preserve">Huang L., Fantke P., Ernstoff A., Jolliet O. (2017). A quantitative property-property relationship for the internal diffusion coefficients of organic compounds in solid materials. Indoor Air 27(6):1128-1140. doi:10.1111/ina.12395</t>
  </si>
  <si>
    <t xml:space="preserve">https://doi.org/10.1111/ina.12395</t>
  </si>
  <si>
    <t xml:space="preserve">S79</t>
  </si>
  <si>
    <t xml:space="preserve">Vaferi B. et al. (2025). Machine learning prediction of polymer-food partition coefficients (title to confirm). Sci Rep 15. Supplementary Table S1 (1,847 rows with GBR predictions). doi:10.1038/s41598-025-92459-x</t>
  </si>
  <si>
    <t xml:space="preserve">https://doi.org/10.1038/s41598-025-92459-x</t>
  </si>
  <si>
    <t xml:space="preserve">S80</t>
  </si>
  <si>
    <t xml:space="preserve">The Good Scents Company. Tris(2,4-di-tert-butylphenyl) phosphite, XlogP3-AA 15.50 (estimated).</t>
  </si>
  <si>
    <t xml:space="preserve">https://www.thegoodscentscompany.com/data/rw1313591.html</t>
  </si>
  <si>
    <t xml:space="preserve">database</t>
  </si>
  <si>
    <t xml:space="preserve">S81</t>
  </si>
  <si>
    <t xml:space="preserve">Commission Regulation (EU) No 10/2011 on plastic materials and articles intended to come into contact with food, Annex III (food simulants A 10 % ethanol, D1 50 % ethanol, D2 vegetable oil) and Annex V (95 % ethanol as substitute test for D2).</t>
  </si>
  <si>
    <t xml:space="preserve">https://eur-lex.europa.eu/legal-content/EN/TXT/?uri=CELEX:32011R0010</t>
  </si>
  <si>
    <t xml:space="preserve">S82</t>
  </si>
  <si>
    <t xml:space="preserve">BfR (2019). Do not use 'bamboo ware' tableware for hot drinks and meals. Press release, 25 November 2019 (melamine-formaldehyde resin with bamboo fibre filler; not for heating food in the microwave).</t>
  </si>
  <si>
    <t xml:space="preserve">https://www.bfr.bund.de/en/press-release/do-not-use-bamboo-ware-tableware-for-hot-drinks-and-meals/</t>
  </si>
  <si>
    <t xml:space="preserve">Key</t>
  </si>
  <si>
    <t xml:space="preserve">Polymer</t>
  </si>
  <si>
    <t xml:space="preserve">A_P'</t>
  </si>
  <si>
    <t xml:space="preserve">tau (K)</t>
  </si>
  <si>
    <t xml:space="preserve">T max valid (C)</t>
  </si>
  <si>
    <t xml:space="preserve">Density (g/cm3)</t>
  </si>
  <si>
    <t xml:space="preserve">Density status</t>
  </si>
  <si>
    <t xml:space="preserve">Density source</t>
  </si>
  <si>
    <t xml:space="preserve">Piringer source</t>
  </si>
  <si>
    <t xml:space="preserve">Status</t>
  </si>
  <si>
    <t xml:space="preserve">Huang 2017 material</t>
  </si>
  <si>
    <t xml:space="preserve">Huang b</t>
  </si>
  <si>
    <t xml:space="preserve">Huang tau (K)</t>
  </si>
  <si>
    <t xml:space="preserve">Partition material (Huang and Jolliet 2019)</t>
  </si>
  <si>
    <t xml:space="preserve">LDPE</t>
  </si>
  <si>
    <t xml:space="preserve">Low-density polyethylene</t>
  </si>
  <si>
    <t xml:space="preserve">SECONDARY</t>
  </si>
  <si>
    <t xml:space="preserve">VERIFIED</t>
  </si>
  <si>
    <t xml:space="preserve">Polyethylene (PE, LDPE, LLDPE)</t>
  </si>
  <si>
    <t xml:space="preserve">Low-density polyethylene (LDPE)</t>
  </si>
  <si>
    <t xml:space="preserve">LLDPE</t>
  </si>
  <si>
    <t xml:space="preserve">Linear low-density polyethylene</t>
  </si>
  <si>
    <t xml:space="preserve">Linear low-density polyethylene (LLDPE)</t>
  </si>
  <si>
    <t xml:space="preserve">HDPE</t>
  </si>
  <si>
    <t xml:space="preserve">High-density polyethylene</t>
  </si>
  <si>
    <t xml:space="preserve">ASSUMPTION</t>
  </si>
  <si>
    <t xml:space="preserve">High density polyethylene (HDPE)</t>
  </si>
  <si>
    <t xml:space="preserve">High-density polyethylene (HDPE)</t>
  </si>
  <si>
    <t xml:space="preserve">PP</t>
  </si>
  <si>
    <t xml:space="preserve">Polypropylene (homo and random)</t>
  </si>
  <si>
    <t xml:space="preserve">PP homopolymer</t>
  </si>
  <si>
    <t xml:space="preserve">Polypropylene (PP) homopolymer</t>
  </si>
  <si>
    <t xml:space="preserve">PP_RUBBER</t>
  </si>
  <si>
    <t xml:space="preserve">Polypropylene (rubber-modified)</t>
  </si>
  <si>
    <t xml:space="preserve">PP copolymer</t>
  </si>
  <si>
    <t xml:space="preserve">Ethylene-propylene copolymer</t>
  </si>
  <si>
    <t xml:space="preserve">PS</t>
  </si>
  <si>
    <t xml:space="preserve">Polystyrene (GPPS)</t>
  </si>
  <si>
    <t xml:space="preserve">General polystyrene (PS)</t>
  </si>
  <si>
    <t xml:space="preserve">Polystyrene (PS)</t>
  </si>
  <si>
    <t xml:space="preserve">HIPS</t>
  </si>
  <si>
    <t xml:space="preserve">High-impact polystyrene</t>
  </si>
  <si>
    <t xml:space="preserve">High-impact polystyrene (HIPS)</t>
  </si>
  <si>
    <t xml:space="preserve">PET_HI</t>
  </si>
  <si>
    <t xml:space="preserve">PET above Tg (about 70 C)</t>
  </si>
  <si>
    <t xml:space="preserve">S01;S41</t>
  </si>
  <si>
    <t xml:space="preserve">Polyethylene terephthalate (PET)</t>
  </si>
  <si>
    <t xml:space="preserve">PET_LO</t>
  </si>
  <si>
    <t xml:space="preserve">PET below Tg</t>
  </si>
  <si>
    <t xml:space="preserve">PEN</t>
  </si>
  <si>
    <t xml:space="preserve">Polyethylene naphthalate</t>
  </si>
  <si>
    <t xml:space="preserve">Polyethylene naphthalate (PEN)</t>
  </si>
  <si>
    <t xml:space="preserve">PA6</t>
  </si>
  <si>
    <t xml:space="preserve">Polyamide 6</t>
  </si>
  <si>
    <t xml:space="preserve">Polyamide (PA)</t>
  </si>
  <si>
    <t xml:space="preserve">Nylon 6</t>
  </si>
  <si>
    <t xml:space="preserve">PA66</t>
  </si>
  <si>
    <t xml:space="preserve">Polyamide 6,6</t>
  </si>
  <si>
    <t xml:space="preserve">PVC_RIGID</t>
  </si>
  <si>
    <t xml:space="preserve">Rigid PVC</t>
  </si>
  <si>
    <t xml:space="preserve">Rigid polymers</t>
  </si>
  <si>
    <t xml:space="preserve">Polyvinyl chloride (PVC)</t>
  </si>
  <si>
    <t xml:space="preserve">Two diffusion coefficients per polymer. The engine works between them on a log scale (ModelParams d_weight_*).</t>
  </si>
  <si>
    <t xml:space="preserve">Piringer upper bound (cm2/s): D_P = 1e4 * exp(A_P' - tau/T - 0.1351*Mr^(2/3) + 0.003*Mr - 10454/T)   [S01]</t>
  </si>
  <si>
    <t xml:space="preserve">Huang 2017 QPPR, realistic (m2/s): log10 D = 6.39 -2.49 log10 MW + b + (tau -3486)/T; x 1e4 for cm2/s   [S78]</t>
  </si>
  <si>
    <t xml:space="preserve">Example: DEHP (Mr 390.57) in PP at 100 C</t>
  </si>
  <si>
    <t xml:space="preserve">Piringer (cm2/s)</t>
  </si>
  <si>
    <t xml:space="preserve">cm2/s</t>
  </si>
  <si>
    <t xml:space="preserve">Huang 2017 (cm2/s)</t>
  </si>
  <si>
    <t xml:space="preserve">Piringer / Huang</t>
  </si>
  <si>
    <t xml:space="preserve">Name</t>
  </si>
  <si>
    <t xml:space="preserve">CAS</t>
  </si>
  <si>
    <t xml:space="preserve">MW (g/mol)</t>
  </si>
  <si>
    <t xml:space="preserve">log Kow</t>
  </si>
  <si>
    <t xml:space="preserve">Group</t>
  </si>
  <si>
    <t xml:space="preserve">RPF (DEHP-eq)</t>
  </si>
  <si>
    <t xml:space="preserve">Diffusion model</t>
  </si>
  <si>
    <t xml:space="preserve">D0 (cm2/s)</t>
  </si>
  <si>
    <t xml:space="preserve">Ea (kJ/mol)</t>
  </si>
  <si>
    <t xml:space="preserve">Diffusible fraction</t>
  </si>
  <si>
    <t xml:space="preserve">Note</t>
  </si>
  <si>
    <t xml:space="preserve">DEHP</t>
  </si>
  <si>
    <t xml:space="preserve">Di(2-ethylhexyl) phthalate</t>
  </si>
  <si>
    <t xml:space="preserve">117-81-7</t>
  </si>
  <si>
    <t xml:space="preserve">phthalate_dehp_eq</t>
  </si>
  <si>
    <t xml:space="preserve">piringer</t>
  </si>
  <si>
    <t xml:space="preserve">S13;S08</t>
  </si>
  <si>
    <t xml:space="preserve">log Kow 7.14 also reported (ECHA via Health Canada). Sets the partition coefficient through the Huang and Jolliet 2019 regression [S76].</t>
  </si>
  <si>
    <t xml:space="preserve">DBP</t>
  </si>
  <si>
    <t xml:space="preserve">Dibutyl phthalate</t>
  </si>
  <si>
    <t xml:space="preserve">84-74-2</t>
  </si>
  <si>
    <t xml:space="preserve">S14;S08</t>
  </si>
  <si>
    <t xml:space="preserve">RPF 5 from the DEHP-equivalent formula of group restriction 36.</t>
  </si>
  <si>
    <t xml:space="preserve">DIBP</t>
  </si>
  <si>
    <t xml:space="preserve">Diisobutyl phthalate</t>
  </si>
  <si>
    <t xml:space="preserve">84-69-5</t>
  </si>
  <si>
    <t xml:space="preserve">RPF VERIFIED; MW DERIVED (isomer of DBP, C16H22O4); log Kow UNVERIFIED (commonly cited 4.11)</t>
  </si>
  <si>
    <t xml:space="preserve">log Kow sets the partition coefficient through the Huang and Jolliet 2019 regression [S76]. Confirm 4.11 on PubChem or ECHA.</t>
  </si>
  <si>
    <t xml:space="preserve">BBP</t>
  </si>
  <si>
    <t xml:space="preserve">Benzyl butyl phthalate</t>
  </si>
  <si>
    <t xml:space="preserve">85-68-7</t>
  </si>
  <si>
    <t xml:space="preserve">Not detected in microwaved PP containers [S05]; kept for completeness.</t>
  </si>
  <si>
    <t xml:space="preserve">SB</t>
  </si>
  <si>
    <t xml:space="preserve">Antimony (catalyst residue in PET)</t>
  </si>
  <si>
    <t xml:space="preserve">7440-36-0</t>
  </si>
  <si>
    <t xml:space="preserve">antimony</t>
  </si>
  <si>
    <t xml:space="preserve">arrhenius</t>
  </si>
  <si>
    <t xml:space="preserve">VERIFIED (D0, Ea, diffusible fraction)</t>
  </si>
  <si>
    <t xml:space="preserve">Fitted by Haldimann 2013 on CPET at 120-150 C; use at 100-125 C is a short extrapolation. Piringer is not designed for metal species.</t>
  </si>
  <si>
    <t xml:space="preserve">I168</t>
  </si>
  <si>
    <t xml:space="preserve">Irgafos 168 (phosphite antioxidant in PP)</t>
  </si>
  <si>
    <t xml:space="preserve">31570-04-4</t>
  </si>
  <si>
    <t xml:space="preserve">antioxidant_i168</t>
  </si>
  <si>
    <t xml:space="preserve">MW SECONDARY; log Kow ESTIMATED (XlogP3-AA 15.5)</t>
  </si>
  <si>
    <t xml:space="preserve">S53;S54;S80</t>
  </si>
  <si>
    <t xml:space="preserve">No measured log Kow exists for this very hydrophobic additive. The engine caps log Kow at the highest value measured in the partition data for the food's EtOH-eq band, so the estimate only matters for fatty foods. The FDA ADI also covers its oxidised phosphate.</t>
  </si>
  <si>
    <t xml:space="preserve">Antimony D(100 C) from Haldimann 2013 Arrhenius fit (cm2/s):</t>
  </si>
  <si>
    <t xml:space="preserve">Label (en)</t>
  </si>
  <si>
    <t xml:space="preserve">Label (ko)</t>
  </si>
  <si>
    <t xml:space="preserve">TDI</t>
  </si>
  <si>
    <t xml:space="preserve">Unit</t>
  </si>
  <si>
    <t xml:space="preserve">Agency</t>
  </si>
  <si>
    <t xml:space="preserve">Year</t>
  </si>
  <si>
    <t xml:space="preserve">Daily allowance, 70 kg adult (ug)</t>
  </si>
  <si>
    <t xml:space="preserve">Basis</t>
  </si>
  <si>
    <t xml:space="preserve">Phthalates</t>
  </si>
  <si>
    <r>
      <rPr>
        <sz val="10"/>
        <color rgb="FF333333"/>
        <rFont val="Noto Sans CJK SC"/>
        <family val="2"/>
      </rPr>
      <t xml:space="preserve">프탈레이트</t>
    </r>
    <r>
      <rPr>
        <sz val="10"/>
        <color rgb="FF333333"/>
        <rFont val="Arial"/>
        <family val="0"/>
        <charset val="1"/>
      </rPr>
      <t xml:space="preserve">(DEHP </t>
    </r>
    <r>
      <rPr>
        <sz val="10"/>
        <color rgb="FF333333"/>
        <rFont val="Noto Sans CJK SC"/>
        <family val="2"/>
      </rPr>
      <t xml:space="preserve">당량</t>
    </r>
    <r>
      <rPr>
        <sz val="10"/>
        <color rgb="FF333333"/>
        <rFont val="Arial"/>
        <family val="0"/>
        <charset val="1"/>
      </rPr>
      <t xml:space="preserve">)</t>
    </r>
  </si>
  <si>
    <t xml:space="preserve">ug/kg bw/day</t>
  </si>
  <si>
    <t xml:space="preserve">EFSA</t>
  </si>
  <si>
    <t xml:space="preserve">S07;S08</t>
  </si>
  <si>
    <t xml:space="preserve">Group TDI, reduction in fetal testosterone; DEHP-eq = 1 DEHP + 5 DBP + 4 DIBP + 0.1 BBP (Reg. 2023/1442 group 36). Temporary TDI.</t>
  </si>
  <si>
    <t xml:space="preserve">Antimony</t>
  </si>
  <si>
    <t xml:space="preserve">안티모니</t>
  </si>
  <si>
    <t xml:space="preserve">WHO</t>
  </si>
  <si>
    <t xml:space="preserve">NOAEL 6.0 mg/kg bw/day (90-day rat study) / UF 1000.</t>
  </si>
  <si>
    <t xml:space="preserve">Irgafos 168 (antioxidant)</t>
  </si>
  <si>
    <r>
      <rPr>
        <sz val="10"/>
        <color rgb="FF333333"/>
        <rFont val="Noto Sans CJK SC"/>
        <family val="2"/>
      </rPr>
      <t xml:space="preserve">산화방지제 </t>
    </r>
    <r>
      <rPr>
        <sz val="10"/>
        <color rgb="FF333333"/>
        <rFont val="Arial"/>
        <family val="0"/>
        <charset val="1"/>
      </rPr>
      <t xml:space="preserve">Irgafos 168</t>
    </r>
  </si>
  <si>
    <t xml:space="preserve">ug/kg bw/day (ADI)</t>
  </si>
  <si>
    <t xml:space="preserve">US FDA</t>
  </si>
  <si>
    <t xml:space="preserve">NOEL 2000 ppm in a 2-year rat study, safety factor 100; covers Irgafos 168 and its phosphate.</t>
  </si>
  <si>
    <t xml:space="preserve">lead</t>
  </si>
  <si>
    <t xml:space="preserve">Lead</t>
  </si>
  <si>
    <r>
      <rPr>
        <sz val="10"/>
        <color rgb="FF333333"/>
        <rFont val="Noto Sans CJK SC"/>
        <family val="2"/>
      </rPr>
      <t xml:space="preserve">납</t>
    </r>
    <r>
      <rPr>
        <sz val="10"/>
        <color rgb="FF333333"/>
        <rFont val="Arial"/>
        <family val="0"/>
        <charset val="1"/>
      </rPr>
      <t xml:space="preserve">(EFSA </t>
    </r>
    <r>
      <rPr>
        <sz val="10"/>
        <color rgb="FF333333"/>
        <rFont val="Noto Sans CJK SC"/>
        <family val="2"/>
      </rPr>
      <t xml:space="preserve">기준점</t>
    </r>
    <r>
      <rPr>
        <sz val="10"/>
        <color rgb="FF333333"/>
        <rFont val="Arial"/>
        <family val="0"/>
        <charset val="1"/>
      </rPr>
      <t xml:space="preserve">)</t>
    </r>
  </si>
  <si>
    <t xml:space="preserve">ug/kg bw/day (BMDL01)</t>
  </si>
  <si>
    <t xml:space="preserve">No safe intake exists for lead, so EFSA withdrew the tolerable weekly intake and uses a benchmark dose (developmental neurotoxicity in children, BMDL01). The % shown is of this reference point, not of a safe limit.</t>
  </si>
  <si>
    <t xml:space="preserve">Substance</t>
  </si>
  <si>
    <t xml:space="preserve">Value</t>
  </si>
  <si>
    <t xml:space="preserve">US EPA IRIS</t>
  </si>
  <si>
    <t xml:space="preserve">ug/kg bw/day (oral RfD)</t>
  </si>
  <si>
    <t xml:space="preserve">ug/kg bw/day (individual t-TDI)</t>
  </si>
  <si>
    <t xml:space="preserve">DINP</t>
  </si>
  <si>
    <t xml:space="preserve">BPA</t>
  </si>
  <si>
    <t xml:space="preserve">ug/kg bw/day (0.2 ng/kg bw/day)</t>
  </si>
  <si>
    <t xml:space="preserve">Material</t>
  </si>
  <si>
    <t xml:space="preserve">Low (mg/kg)</t>
  </si>
  <si>
    <t xml:space="preserve">High (mg/kg)</t>
  </si>
  <si>
    <t xml:space="preserve">Central (mg/kg)</t>
  </si>
  <si>
    <t xml:space="preserve">Distribution</t>
  </si>
  <si>
    <t xml:space="preserve">uniform</t>
  </si>
  <si>
    <t xml:space="preserve">VERIFIED (range of reported values)</t>
  </si>
  <si>
    <t xml:space="preserve">S03;S04</t>
  </si>
  <si>
    <t xml:space="preserve">Liu 2020 1.39-2.83 mg/kg; Lan 2022 ND-0.995 mg/kg (unit printed mg/g in abstract, read as ug/g). Not an intended PP additive.</t>
  </si>
  <si>
    <t xml:space="preserve">Lan 2022 0.237-1.676 (100% detected); Liu 2020 0.53-1.84 mg/kg.</t>
  </si>
  <si>
    <t xml:space="preserve">VERIFIED (unit UNVERIFIED)</t>
  </si>
  <si>
    <t xml:space="preserve">Lan 2022 ND-2.302, detection rate 78%.</t>
  </si>
  <si>
    <t xml:space="preserve">CPET</t>
  </si>
  <si>
    <t xml:space="preserve">S06;S02</t>
  </si>
  <si>
    <t xml:space="preserve">PET range 100-400 mg/kg (review). The one CPET tray measured by Haldimann 2013 had 290-318 mg/kg, inside this range.</t>
  </si>
  <si>
    <t xml:space="preserve">PET_COAT</t>
  </si>
  <si>
    <t xml:space="preserve">No measurement for PET-coated board; the PET range is applied to the coating layer.</t>
  </si>
  <si>
    <t xml:space="preserve">VERIFIED for PP films; ASSUMPTION for rigid PP</t>
  </si>
  <si>
    <t xml:space="preserve">Six PP food packaging films. Rigid PP containers also carry phosphite antioxidants; no rigid-container value was found.</t>
  </si>
  <si>
    <t xml:space="preserve">PP_FILM</t>
  </si>
  <si>
    <t xml:space="preserve">PP film sealant layer of steam bags and pouches.</t>
  </si>
  <si>
    <t xml:space="preserve">Container</t>
  </si>
  <si>
    <t xml:space="preserve">Low</t>
  </si>
  <si>
    <t xml:space="preserve">Middle</t>
  </si>
  <si>
    <t xml:space="preserve">High</t>
  </si>
  <si>
    <t xml:space="preserve">Conditions</t>
  </si>
  <si>
    <t xml:space="preserve">paper_cup</t>
  </si>
  <si>
    <t xml:space="preserve">Lead (Pb)</t>
  </si>
  <si>
    <t xml:space="preserve">ug/kg</t>
  </si>
  <si>
    <t xml:space="preserve">per_kg_food</t>
  </si>
  <si>
    <t xml:space="preserve">20 PE-lined paper cups, 200 mL ultrapure water at 95-100 C, 15 min. Value per litre of water applied per kg of soup or noodles.</t>
  </si>
  <si>
    <t xml:space="preserve">Used when a container has status measured: intake = value x food mass (per_kg_food) or value (per_item); range = low to high.</t>
  </si>
  <si>
    <t xml:space="preserve">Content key</t>
  </si>
  <si>
    <t xml:space="preserve">Thickness (cm)</t>
  </si>
  <si>
    <t xml:space="preserve">Thickness low</t>
  </si>
  <si>
    <t xml:space="preserve">Thickness high</t>
  </si>
  <si>
    <t xml:space="preserve">Contact area at 300 g (cm2)</t>
  </si>
  <si>
    <t xml:space="preserve">Form</t>
  </si>
  <si>
    <t xml:space="preserve">Max use (C)</t>
  </si>
  <si>
    <t xml:space="preserve">Max use (F)</t>
  </si>
  <si>
    <t xml:space="preserve">Reason (en)</t>
  </si>
  <si>
    <t xml:space="preserve">Reason (ko)</t>
  </si>
  <si>
    <t xml:space="preserve">Notes</t>
  </si>
  <si>
    <t xml:space="preserve">Contact mode</t>
  </si>
  <si>
    <t xml:space="preserve">cpet_tray</t>
  </si>
  <si>
    <t xml:space="preserve">Black oven tray (#1)</t>
  </si>
  <si>
    <r>
      <rPr>
        <sz val="10"/>
        <color rgb="FF333333"/>
        <rFont val="Noto Sans CJK SC"/>
        <family val="2"/>
      </rPr>
      <t xml:space="preserve">검은 오븐 겸용 트레이</t>
    </r>
    <r>
      <rPr>
        <sz val="10"/>
        <color rgb="FF333333"/>
        <rFont val="Arial"/>
        <family val="0"/>
        <charset val="1"/>
      </rPr>
      <t xml:space="preserve">(CPET)</t>
    </r>
  </si>
  <si>
    <t xml:space="preserve">ok</t>
  </si>
  <si>
    <t xml:space="preserve">tray</t>
  </si>
  <si>
    <t xml:space="preserve">S02;S16;S17</t>
  </si>
  <si>
    <t xml:space="preserve">Thickness and density of the tray measured by Haldimann 2013. Max use 400 F (Sabert).</t>
  </si>
  <si>
    <t xml:space="preserve">wall</t>
  </si>
  <si>
    <t xml:space="preserve">pp_container</t>
  </si>
  <si>
    <t xml:space="preserve">Microwave-safe plastic (#5)</t>
  </si>
  <si>
    <r>
      <rPr>
        <sz val="10"/>
        <color rgb="FF333333"/>
        <rFont val="Noto Sans CJK SC"/>
        <family val="2"/>
      </rPr>
      <t xml:space="preserve">전자레인지용 플라스틱 용기</t>
    </r>
    <r>
      <rPr>
        <sz val="10"/>
        <color rgb="FF333333"/>
        <rFont val="Arial"/>
        <family val="0"/>
        <charset val="1"/>
      </rPr>
      <t xml:space="preserve">(PP 5</t>
    </r>
    <r>
      <rPr>
        <sz val="10"/>
        <color rgb="FF333333"/>
        <rFont val="Noto Sans CJK SC"/>
        <family val="2"/>
      </rPr>
      <t xml:space="preserve">번</t>
    </r>
    <r>
      <rPr>
        <sz val="10"/>
        <color rgb="FF333333"/>
        <rFont val="Arial"/>
        <family val="0"/>
        <charset val="1"/>
      </rPr>
      <t xml:space="preserve">)</t>
    </r>
  </si>
  <si>
    <t xml:space="preserve">bowl</t>
  </si>
  <si>
    <t xml:space="preserve">S18;S19</t>
  </si>
  <si>
    <t xml:space="preserve">Thickness 0.3-0.6 mm is UNVERIFIED; measure with calipers. Max use 220 F per Inline Plastics 2023 (240 F in 2020 catalog).</t>
  </si>
  <si>
    <t xml:space="preserve">pet_board_tray</t>
  </si>
  <si>
    <t xml:space="preserve">Coated paper tray</t>
  </si>
  <si>
    <r>
      <rPr>
        <sz val="10"/>
        <color rgb="FF333333"/>
        <rFont val="Arial"/>
        <family val="0"/>
        <charset val="1"/>
      </rPr>
      <t xml:space="preserve">PET </t>
    </r>
    <r>
      <rPr>
        <sz val="10"/>
        <color rgb="FF333333"/>
        <rFont val="Noto Sans CJK SC"/>
        <family val="2"/>
      </rPr>
      <t xml:space="preserve">코팅 종이 트레이</t>
    </r>
    <r>
      <rPr>
        <sz val="10"/>
        <color rgb="FF333333"/>
        <rFont val="Arial"/>
        <family val="0"/>
        <charset val="1"/>
      </rPr>
      <t xml:space="preserve">(</t>
    </r>
    <r>
      <rPr>
        <sz val="10"/>
        <color rgb="FF333333"/>
        <rFont val="Noto Sans CJK SC"/>
        <family val="2"/>
      </rPr>
      <t xml:space="preserve">오븐 겸용</t>
    </r>
    <r>
      <rPr>
        <sz val="10"/>
        <color rgb="FF333333"/>
        <rFont val="Arial"/>
        <family val="0"/>
        <charset val="1"/>
      </rPr>
      <t xml:space="preserve">)</t>
    </r>
  </si>
  <si>
    <t xml:space="preserve">S60;S06</t>
  </si>
  <si>
    <t xml:space="preserve">PET coating 40 g/m2, about 29 um, usable to 220 C (Holmen). Ovenable paperboard trays carry a PET coating; antimony content of the coating is assumed equal to PET (ASSUMPTION).</t>
  </si>
  <si>
    <t xml:space="preserve">paperboard_tray</t>
  </si>
  <si>
    <t xml:space="preserve">Paper plate or fiber tray</t>
  </si>
  <si>
    <r>
      <rPr>
        <sz val="10"/>
        <color rgb="FF333333"/>
        <rFont val="Noto Sans CJK SC"/>
        <family val="2"/>
      </rPr>
      <t xml:space="preserve">종이</t>
    </r>
    <r>
      <rPr>
        <sz val="10"/>
        <color rgb="FF333333"/>
        <rFont val="Arial"/>
        <family val="0"/>
        <charset val="1"/>
      </rPr>
      <t xml:space="preserve">·</t>
    </r>
    <r>
      <rPr>
        <sz val="10"/>
        <color rgb="FF333333"/>
        <rFont val="Noto Sans CJK SC"/>
        <family val="2"/>
      </rPr>
      <t xml:space="preserve">압착 섬유 트레이</t>
    </r>
    <r>
      <rPr>
        <sz val="10"/>
        <color rgb="FF333333"/>
        <rFont val="Arial"/>
        <family val="0"/>
        <charset val="1"/>
      </rPr>
      <t xml:space="preserve">(</t>
    </r>
    <r>
      <rPr>
        <sz val="10"/>
        <color rgb="FF333333"/>
        <rFont val="Noto Sans CJK SC"/>
        <family val="2"/>
      </rPr>
      <t xml:space="preserve">코팅 미확인</t>
    </r>
    <r>
      <rPr>
        <sz val="10"/>
        <color rgb="FF333333"/>
        <rFont val="Arial"/>
        <family val="0"/>
        <charset val="1"/>
      </rPr>
      <t xml:space="preserve">)</t>
    </r>
  </si>
  <si>
    <t xml:space="preserve">info</t>
  </si>
  <si>
    <t xml:space="preserve">The old worry was PFAS coatings, which US food packaging dropped in 2024.</t>
  </si>
  <si>
    <r>
      <rPr>
        <sz val="10"/>
        <color rgb="FF333333"/>
        <rFont val="Noto Sans CJK SC"/>
        <family val="2"/>
      </rPr>
      <t xml:space="preserve">코팅 없는 종이</t>
    </r>
    <r>
      <rPr>
        <sz val="10"/>
        <color rgb="FF333333"/>
        <rFont val="Arial"/>
        <family val="0"/>
        <charset val="1"/>
      </rPr>
      <t xml:space="preserve">·</t>
    </r>
    <r>
      <rPr>
        <sz val="10"/>
        <color rgb="FF333333"/>
        <rFont val="Noto Sans CJK SC"/>
        <family val="2"/>
      </rPr>
      <t xml:space="preserve">섬유 트레이의 주요 우려 물질은 기름 방지용 </t>
    </r>
    <r>
      <rPr>
        <sz val="10"/>
        <color rgb="FF333333"/>
        <rFont val="Arial"/>
        <family val="0"/>
        <charset val="1"/>
      </rPr>
      <t xml:space="preserve">PFAS</t>
    </r>
    <r>
      <rPr>
        <sz val="10"/>
        <color rgb="FF333333"/>
        <rFont val="Noto Sans CJK SC"/>
        <family val="2"/>
      </rPr>
      <t xml:space="preserve">였다</t>
    </r>
    <r>
      <rPr>
        <sz val="10"/>
        <color rgb="FF333333"/>
        <rFont val="Arial"/>
        <family val="0"/>
        <charset val="1"/>
      </rPr>
      <t xml:space="preserve">. </t>
    </r>
    <r>
      <rPr>
        <sz val="10"/>
        <color rgb="FF333333"/>
        <rFont val="Noto Sans CJK SC"/>
        <family val="2"/>
      </rPr>
      <t xml:space="preserve">미국에서는 </t>
    </r>
    <r>
      <rPr>
        <sz val="10"/>
        <color rgb="FF333333"/>
        <rFont val="Arial"/>
        <family val="0"/>
        <charset val="1"/>
      </rPr>
      <t xml:space="preserve">2024</t>
    </r>
    <r>
      <rPr>
        <sz val="10"/>
        <color rgb="FF333333"/>
        <rFont val="Noto Sans CJK SC"/>
        <family val="2"/>
      </rPr>
      <t xml:space="preserve">년 </t>
    </r>
    <r>
      <rPr>
        <sz val="10"/>
        <color rgb="FF333333"/>
        <rFont val="Arial"/>
        <family val="0"/>
        <charset val="1"/>
      </rPr>
      <t xml:space="preserve">2</t>
    </r>
    <r>
      <rPr>
        <sz val="10"/>
        <color rgb="FF333333"/>
        <rFont val="Noto Sans CJK SC"/>
        <family val="2"/>
      </rPr>
      <t xml:space="preserve">월부터 </t>
    </r>
    <r>
      <rPr>
        <sz val="10"/>
        <color rgb="FF333333"/>
        <rFont val="Arial"/>
        <family val="0"/>
        <charset val="1"/>
      </rPr>
      <t xml:space="preserve">PFAS </t>
    </r>
    <r>
      <rPr>
        <sz val="10"/>
        <color rgb="FF333333"/>
        <rFont val="Noto Sans CJK SC"/>
        <family val="2"/>
      </rPr>
      <t xml:space="preserve">기름 방지제가 식품 포장용으로 팔리지 않고</t>
    </r>
    <r>
      <rPr>
        <sz val="10"/>
        <color rgb="FF333333"/>
        <rFont val="Arial"/>
        <family val="0"/>
        <charset val="1"/>
      </rPr>
      <t xml:space="preserve">, </t>
    </r>
    <r>
      <rPr>
        <sz val="10"/>
        <color rgb="FF333333"/>
        <rFont val="Noto Sans CJK SC"/>
        <family val="2"/>
      </rPr>
      <t xml:space="preserve">캘리포니아는 총 유기 플루오린을 </t>
    </r>
    <r>
      <rPr>
        <sz val="10"/>
        <color rgb="FF333333"/>
        <rFont val="Arial"/>
        <family val="0"/>
        <charset val="1"/>
      </rPr>
      <t xml:space="preserve">100 ppm </t>
    </r>
    <r>
      <rPr>
        <sz val="10"/>
        <color rgb="FF333333"/>
        <rFont val="Noto Sans CJK SC"/>
        <family val="2"/>
      </rPr>
      <t xml:space="preserve">미만으로 제한한다</t>
    </r>
    <r>
      <rPr>
        <sz val="10"/>
        <color rgb="FF333333"/>
        <rFont val="Arial"/>
        <family val="0"/>
        <charset val="1"/>
      </rPr>
      <t xml:space="preserve">. </t>
    </r>
    <r>
      <rPr>
        <sz val="10"/>
        <color rgb="FF333333"/>
        <rFont val="Noto Sans CJK SC"/>
        <family val="2"/>
      </rPr>
      <t xml:space="preserve">현재 미국 제품에는 없어야 하므로 숫자는 보여 주지 않는다</t>
    </r>
    <r>
      <rPr>
        <sz val="10"/>
        <color rgb="FF333333"/>
        <rFont val="Arial"/>
        <family val="0"/>
        <charset val="1"/>
      </rPr>
      <t xml:space="preserve">.</t>
    </r>
  </si>
  <si>
    <t xml:space="preserve">S63;S75;S62</t>
  </si>
  <si>
    <t xml:space="preserve">Detail: The main chemical concern for uncoated or fibre trays was PFAS grease-proofing. PFAS grease-proofing agents are no longer sold for US food packaging (FDA, Feb 2024) and California limits total organic fluorine to 100 ppm. No number is shown because current US trays should not contain them. If the tray is marked PET or dual-ovenable, use pet_board_tray.</t>
  </si>
  <si>
    <t xml:space="preserve">Paper cup or bowl</t>
  </si>
  <si>
    <r>
      <rPr>
        <sz val="10"/>
        <color rgb="FF333333"/>
        <rFont val="Noto Sans CJK SC"/>
        <family val="2"/>
      </rPr>
      <t xml:space="preserve">종이 컵</t>
    </r>
    <r>
      <rPr>
        <sz val="10"/>
        <color rgb="FF333333"/>
        <rFont val="Arial"/>
        <family val="0"/>
        <charset val="1"/>
      </rPr>
      <t xml:space="preserve">·</t>
    </r>
    <r>
      <rPr>
        <sz val="10"/>
        <color rgb="FF333333"/>
        <rFont val="Noto Sans CJK SC"/>
        <family val="2"/>
      </rPr>
      <t xml:space="preserve">그릇</t>
    </r>
    <r>
      <rPr>
        <sz val="10"/>
        <color rgb="FF333333"/>
        <rFont val="Arial"/>
        <family val="0"/>
        <charset val="1"/>
      </rPr>
      <t xml:space="preserve">(PE </t>
    </r>
    <r>
      <rPr>
        <sz val="10"/>
        <color rgb="FF333333"/>
        <rFont val="Noto Sans CJK SC"/>
        <family val="2"/>
      </rPr>
      <t xml:space="preserve">코팅</t>
    </r>
    <r>
      <rPr>
        <sz val="10"/>
        <color rgb="FF333333"/>
        <rFont val="Arial"/>
        <family val="0"/>
        <charset val="1"/>
      </rPr>
      <t xml:space="preserve">)</t>
    </r>
  </si>
  <si>
    <t xml:space="preserve">measured</t>
  </si>
  <si>
    <t xml:space="preserve">cup</t>
  </si>
  <si>
    <t xml:space="preserve">It's lined with a thin plastic film. Lab tests found traces of lead in hot water from these cups.</t>
  </si>
  <si>
    <r>
      <rPr>
        <sz val="10"/>
        <color rgb="FF333333"/>
        <rFont val="Noto Sans CJK SC"/>
        <family val="2"/>
      </rPr>
      <t xml:space="preserve">측정값 기반 추정이다</t>
    </r>
    <r>
      <rPr>
        <sz val="10"/>
        <color rgb="FF333333"/>
        <rFont val="Arial"/>
        <family val="0"/>
        <charset val="1"/>
      </rPr>
      <t xml:space="preserve">. PE </t>
    </r>
    <r>
      <rPr>
        <sz val="10"/>
        <color rgb="FF333333"/>
        <rFont val="Noto Sans CJK SC"/>
        <family val="2"/>
      </rPr>
      <t xml:space="preserve">코팅 종이컵 </t>
    </r>
    <r>
      <rPr>
        <sz val="10"/>
        <color rgb="FF333333"/>
        <rFont val="Arial"/>
        <family val="0"/>
        <charset val="1"/>
      </rPr>
      <t xml:space="preserve">20</t>
    </r>
    <r>
      <rPr>
        <sz val="10"/>
        <color rgb="FF333333"/>
        <rFont val="Noto Sans CJK SC"/>
        <family val="2"/>
      </rPr>
      <t xml:space="preserve">종에 끓는 물을 붓고 </t>
    </r>
    <r>
      <rPr>
        <sz val="10"/>
        <color rgb="FF333333"/>
        <rFont val="Arial"/>
        <family val="0"/>
        <charset val="1"/>
      </rPr>
      <t xml:space="preserve">15</t>
    </r>
    <r>
      <rPr>
        <sz val="10"/>
        <color rgb="FF333333"/>
        <rFont val="Noto Sans CJK SC"/>
        <family val="2"/>
      </rPr>
      <t xml:space="preserve">분 둔 실험에서 납이 나왔다</t>
    </r>
    <r>
      <rPr>
        <sz val="10"/>
        <color rgb="FF333333"/>
        <rFont val="Arial"/>
        <family val="0"/>
        <charset val="1"/>
      </rPr>
      <t xml:space="preserve">(</t>
    </r>
    <r>
      <rPr>
        <sz val="10"/>
        <color rgb="FF333333"/>
        <rFont val="Noto Sans CJK SC"/>
        <family val="2"/>
      </rPr>
      <t xml:space="preserve">중앙값 </t>
    </r>
    <r>
      <rPr>
        <sz val="10"/>
        <color rgb="FF333333"/>
        <rFont val="Arial"/>
        <family val="0"/>
        <charset val="1"/>
      </rPr>
      <t xml:space="preserve">1.38, </t>
    </r>
    <r>
      <rPr>
        <sz val="10"/>
        <color rgb="FF333333"/>
        <rFont val="Noto Sans CJK SC"/>
        <family val="2"/>
      </rPr>
      <t xml:space="preserve">범위 </t>
    </r>
    <r>
      <rPr>
        <sz val="10"/>
        <color rgb="FF333333"/>
        <rFont val="Arial"/>
        <family val="0"/>
        <charset val="1"/>
      </rPr>
      <t xml:space="preserve">0.58~22.9 µg/L).</t>
    </r>
  </si>
  <si>
    <t xml:space="preserve">S51;S52;S59</t>
  </si>
  <si>
    <t xml:space="preserve">Detail: Estimated from measured migration: 20 PE-lined paper cups filled with near-boiling water for 15 min released lead (median 1.38, range 0.58-22.9 ug/L). PE coating 15 g/m2 (about 16 um). No additive content of the PE layer itself was found, so the diffusion model is not used. Fast-food paper cups showed no fluorine (PFAS) in a US survey.</t>
  </si>
  <si>
    <t xml:space="preserve">steam_bag</t>
  </si>
  <si>
    <t xml:space="preserve">Steam bag</t>
  </si>
  <si>
    <r>
      <rPr>
        <sz val="10"/>
        <color rgb="FF333333"/>
        <rFont val="Noto Sans CJK SC"/>
        <family val="2"/>
      </rPr>
      <t xml:space="preserve">스팀 백</t>
    </r>
    <r>
      <rPr>
        <sz val="10"/>
        <color rgb="FF333333"/>
        <rFont val="Arial"/>
        <family val="0"/>
        <charset val="1"/>
      </rPr>
      <t xml:space="preserve">(PP </t>
    </r>
    <r>
      <rPr>
        <sz val="10"/>
        <color rgb="FF333333"/>
        <rFont val="Noto Sans CJK SC"/>
        <family val="2"/>
      </rPr>
      <t xml:space="preserve">실런트 필름</t>
    </r>
    <r>
      <rPr>
        <sz val="10"/>
        <color rgb="FF333333"/>
        <rFont val="Arial"/>
        <family val="0"/>
        <charset val="1"/>
      </rPr>
      <t xml:space="preserve">)</t>
    </r>
  </si>
  <si>
    <t xml:space="preserve">bag</t>
  </si>
  <si>
    <t xml:space="preserve">S55;S54</t>
  </si>
  <si>
    <t xml:space="preserve">Patent structure PET 12 um / adhesive / PE or PP skin / PP core 19-63.5 um / PP-PE sealant 12.7-31.8 um (food side). PP layers on the food side total 32-95 um. Patent bag of frozen vegetables reached 95-102 C in 4 min.</t>
  </si>
  <si>
    <t xml:space="preserve">steam</t>
  </si>
  <si>
    <t xml:space="preserve">pouch</t>
  </si>
  <si>
    <t xml:space="preserve">Microwave pouch</t>
  </si>
  <si>
    <r>
      <rPr>
        <sz val="10"/>
        <color rgb="FF333333"/>
        <rFont val="Noto Sans CJK SC"/>
        <family val="2"/>
      </rPr>
      <t xml:space="preserve">전자레인지 파우치</t>
    </r>
    <r>
      <rPr>
        <sz val="10"/>
        <color rgb="FF333333"/>
        <rFont val="Arial"/>
        <family val="0"/>
        <charset val="1"/>
      </rPr>
      <t xml:space="preserve">(CPP </t>
    </r>
    <r>
      <rPr>
        <sz val="10"/>
        <color rgb="FF333333"/>
        <rFont val="Noto Sans CJK SC"/>
        <family val="2"/>
      </rPr>
      <t xml:space="preserve">실런트</t>
    </r>
    <r>
      <rPr>
        <sz val="10"/>
        <color rgb="FF333333"/>
        <rFont val="Arial"/>
        <family val="0"/>
        <charset val="1"/>
      </rPr>
      <t xml:space="preserve">)</t>
    </r>
  </si>
  <si>
    <t xml:space="preserve">S56;S57;S54;S58</t>
  </si>
  <si>
    <t xml:space="preserve">Microwavable retort pouches use PET (often AlOx or SiOx coated) / nylon / CPP 60-87.5 um on the food side. Retorted pouches were already heated to 121-135 C in the factory; a study found 4,4'-MDA (aromatic amine from adhesive) at 2.7-3.1 ug/kg after retort in two brands, above the EU 2 ug/kg limit.</t>
  </si>
  <si>
    <t xml:space="preserve">takeout_tub</t>
  </si>
  <si>
    <t xml:space="preserve">Take-out tub</t>
  </si>
  <si>
    <r>
      <rPr>
        <sz val="10"/>
        <color rgb="FF333333"/>
        <rFont val="Noto Sans CJK SC"/>
        <family val="2"/>
      </rPr>
      <t xml:space="preserve">배달</t>
    </r>
    <r>
      <rPr>
        <sz val="10"/>
        <color rgb="FF333333"/>
        <rFont val="Arial"/>
        <family val="0"/>
        <charset val="1"/>
      </rPr>
      <t xml:space="preserve">·</t>
    </r>
    <r>
      <rPr>
        <sz val="10"/>
        <color rgb="FF333333"/>
        <rFont val="Noto Sans CJK SC"/>
        <family val="2"/>
      </rPr>
      <t xml:space="preserve">마가린 용기</t>
    </r>
  </si>
  <si>
    <t xml:space="preserve">block</t>
  </si>
  <si>
    <t xml:space="preserve">Not made for heat. It can warp or melt.</t>
  </si>
  <si>
    <r>
      <rPr>
        <sz val="10"/>
        <color rgb="FF333333"/>
        <rFont val="Arial"/>
        <family val="0"/>
        <charset val="1"/>
      </rPr>
      <t xml:space="preserve">FSIS</t>
    </r>
    <r>
      <rPr>
        <sz val="10"/>
        <color rgb="FF333333"/>
        <rFont val="Noto Sans CJK SC"/>
        <family val="2"/>
      </rPr>
      <t xml:space="preserve">는 배달 용기와 마가린 통이 전자레인지에서 휘거나 녹을 수 있다고 안내한다</t>
    </r>
    <r>
      <rPr>
        <sz val="10"/>
        <color rgb="FF333333"/>
        <rFont val="Arial"/>
        <family val="0"/>
        <charset val="1"/>
      </rPr>
      <t xml:space="preserve">.</t>
    </r>
  </si>
  <si>
    <t xml:space="preserve">Detail: FSIS says take-out and margarine tubs can warp or melt in the microwave.</t>
  </si>
  <si>
    <t xml:space="preserve">pet_clamshell</t>
  </si>
  <si>
    <t xml:space="preserve">Clear clamshell (#1)</t>
  </si>
  <si>
    <r>
      <rPr>
        <sz val="10"/>
        <color rgb="FF333333"/>
        <rFont val="Noto Sans CJK SC"/>
        <family val="2"/>
      </rPr>
      <t xml:space="preserve">투명 뚜껑 일체형 용기</t>
    </r>
    <r>
      <rPr>
        <sz val="10"/>
        <color rgb="FF333333"/>
        <rFont val="Arial"/>
        <family val="0"/>
        <charset val="1"/>
      </rPr>
      <t xml:space="preserve">(PET 1</t>
    </r>
    <r>
      <rPr>
        <sz val="10"/>
        <color rgb="FF333333"/>
        <rFont val="Noto Sans CJK SC"/>
        <family val="2"/>
      </rPr>
      <t xml:space="preserve">번</t>
    </r>
    <r>
      <rPr>
        <sz val="10"/>
        <color rgb="FF333333"/>
        <rFont val="Arial"/>
        <family val="0"/>
        <charset val="1"/>
      </rPr>
      <t xml:space="preserve">)</t>
    </r>
  </si>
  <si>
    <t xml:space="preserve">It softens around 150°F, cooler than reheated food.</t>
  </si>
  <si>
    <r>
      <rPr>
        <sz val="10"/>
        <color rgb="FF333333"/>
        <rFont val="Arial"/>
        <family val="0"/>
        <charset val="1"/>
      </rPr>
      <t xml:space="preserve">APET</t>
    </r>
    <r>
      <rPr>
        <sz val="10"/>
        <color rgb="FF333333"/>
        <rFont val="Noto Sans CJK SC"/>
        <family val="2"/>
      </rPr>
      <t xml:space="preserve">는 </t>
    </r>
    <r>
      <rPr>
        <sz val="10"/>
        <color rgb="FF333333"/>
        <rFont val="Arial"/>
        <family val="0"/>
        <charset val="1"/>
      </rPr>
      <t xml:space="preserve">65~69 °C </t>
    </r>
    <r>
      <rPr>
        <sz val="10"/>
        <color rgb="FF333333"/>
        <rFont val="Noto Sans CJK SC"/>
        <family val="2"/>
      </rPr>
      <t xml:space="preserve">부근에서 물러지므로 재가열 온도를 견디지 못한다</t>
    </r>
    <r>
      <rPr>
        <sz val="10"/>
        <color rgb="FF333333"/>
        <rFont val="Arial"/>
        <family val="0"/>
        <charset val="1"/>
      </rPr>
      <t xml:space="preserve">.</t>
    </r>
  </si>
  <si>
    <t xml:space="preserve">S20;S19</t>
  </si>
  <si>
    <t xml:space="preserve">eps_foam</t>
  </si>
  <si>
    <t xml:space="preserve">Foam tray or cup</t>
  </si>
  <si>
    <r>
      <rPr>
        <sz val="10"/>
        <color rgb="FF333333"/>
        <rFont val="Noto Sans CJK SC"/>
        <family val="2"/>
      </rPr>
      <t xml:space="preserve">스티로폼 용기</t>
    </r>
    <r>
      <rPr>
        <sz val="10"/>
        <color rgb="FF333333"/>
        <rFont val="Arial"/>
        <family val="0"/>
        <charset val="1"/>
      </rPr>
      <t xml:space="preserve">(EPS)</t>
    </r>
  </si>
  <si>
    <r>
      <rPr>
        <sz val="10"/>
        <color rgb="FF333333"/>
        <rFont val="Arial"/>
        <family val="0"/>
        <charset val="1"/>
      </rPr>
      <t xml:space="preserve">FSIS</t>
    </r>
    <r>
      <rPr>
        <sz val="10"/>
        <color rgb="FF333333"/>
        <rFont val="Noto Sans CJK SC"/>
        <family val="2"/>
      </rPr>
      <t xml:space="preserve">는 스티로폼 트레이가 고온에서 안정하지 않으므로 쓰지 말라고 안내한다</t>
    </r>
    <r>
      <rPr>
        <sz val="10"/>
        <color rgb="FF333333"/>
        <rFont val="Arial"/>
        <family val="0"/>
        <charset val="1"/>
      </rPr>
      <t xml:space="preserve">.</t>
    </r>
  </si>
  <si>
    <t xml:space="preserve">S22;S01</t>
  </si>
  <si>
    <t xml:space="preserve">Piringer PS parameters are valid only up to 70 C.</t>
  </si>
  <si>
    <t xml:space="preserve">ps_rigid</t>
  </si>
  <si>
    <t xml:space="preserve">Clear hard plastic (#6)</t>
  </si>
  <si>
    <r>
      <rPr>
        <sz val="10"/>
        <color rgb="FF333333"/>
        <rFont val="Noto Sans CJK SC"/>
        <family val="2"/>
      </rPr>
      <t xml:space="preserve">투명 </t>
    </r>
    <r>
      <rPr>
        <sz val="10"/>
        <color rgb="FF333333"/>
        <rFont val="Arial"/>
        <family val="0"/>
        <charset val="1"/>
      </rPr>
      <t xml:space="preserve">PS </t>
    </r>
    <r>
      <rPr>
        <sz val="10"/>
        <color rgb="FF333333"/>
        <rFont val="Noto Sans CJK SC"/>
        <family val="2"/>
      </rPr>
      <t xml:space="preserve">용기</t>
    </r>
    <r>
      <rPr>
        <sz val="10"/>
        <color rgb="FF333333"/>
        <rFont val="Arial"/>
        <family val="0"/>
        <charset val="1"/>
      </rPr>
      <t xml:space="preserve">(6</t>
    </r>
    <r>
      <rPr>
        <sz val="10"/>
        <color rgb="FF333333"/>
        <rFont val="Noto Sans CJK SC"/>
        <family val="2"/>
      </rPr>
      <t xml:space="preserve">번</t>
    </r>
    <r>
      <rPr>
        <sz val="10"/>
        <color rgb="FF333333"/>
        <rFont val="Arial"/>
        <family val="0"/>
        <charset val="1"/>
      </rPr>
      <t xml:space="preserve">)</t>
    </r>
  </si>
  <si>
    <t xml:space="preserve">It's only made for up to 170°F. Reheated food gets hotter.</t>
  </si>
  <si>
    <r>
      <rPr>
        <sz val="10"/>
        <color rgb="FF333333"/>
        <rFont val="Arial"/>
        <family val="0"/>
        <charset val="1"/>
      </rPr>
      <t xml:space="preserve">OPS</t>
    </r>
    <r>
      <rPr>
        <sz val="10"/>
        <color rgb="FF333333"/>
        <rFont val="Noto Sans CJK SC"/>
        <family val="2"/>
      </rPr>
      <t xml:space="preserve">의 사용 온도 상한은 </t>
    </r>
    <r>
      <rPr>
        <sz val="10"/>
        <color rgb="FF333333"/>
        <rFont val="Arial"/>
        <family val="0"/>
        <charset val="1"/>
      </rPr>
      <t xml:space="preserve">170 °F(77 °C)</t>
    </r>
    <r>
      <rPr>
        <sz val="10"/>
        <color rgb="FF333333"/>
        <rFont val="Noto Sans CJK SC"/>
        <family val="2"/>
      </rPr>
      <t xml:space="preserve">이다</t>
    </r>
    <r>
      <rPr>
        <sz val="10"/>
        <color rgb="FF333333"/>
        <rFont val="Arial"/>
        <family val="0"/>
        <charset val="1"/>
      </rPr>
      <t xml:space="preserve">.</t>
    </r>
  </si>
  <si>
    <t xml:space="preserve">metal</t>
  </si>
  <si>
    <t xml:space="preserve">Metal or foil</t>
  </si>
  <si>
    <r>
      <rPr>
        <sz val="10"/>
        <color rgb="FF333333"/>
        <rFont val="Noto Sans CJK SC"/>
        <family val="2"/>
      </rPr>
      <t xml:space="preserve">금속</t>
    </r>
    <r>
      <rPr>
        <sz val="10"/>
        <color rgb="FF333333"/>
        <rFont val="Arial"/>
        <family val="0"/>
        <charset val="1"/>
      </rPr>
      <t xml:space="preserve">·</t>
    </r>
    <r>
      <rPr>
        <sz val="10"/>
        <color rgb="FF333333"/>
        <rFont val="Noto Sans CJK SC"/>
        <family val="2"/>
      </rPr>
      <t xml:space="preserve">호일 용기</t>
    </r>
  </si>
  <si>
    <t xml:space="preserve">Metal can spark in the microwave.</t>
  </si>
  <si>
    <r>
      <rPr>
        <sz val="10"/>
        <color rgb="FF333333"/>
        <rFont val="Noto Sans CJK SC"/>
        <family val="2"/>
      </rPr>
      <t xml:space="preserve">금속은 전자레인지에서 불꽃이 튈 수 있다</t>
    </r>
    <r>
      <rPr>
        <sz val="10"/>
        <color rgb="FF333333"/>
        <rFont val="Arial"/>
        <family val="0"/>
        <charset val="1"/>
      </rPr>
      <t xml:space="preserve">. </t>
    </r>
    <r>
      <rPr>
        <sz val="10"/>
        <color rgb="FF333333"/>
        <rFont val="Noto Sans CJK SC"/>
        <family val="2"/>
      </rPr>
      <t xml:space="preserve">접시에 옮겨 담는다</t>
    </r>
    <r>
      <rPr>
        <sz val="10"/>
        <color rgb="FF333333"/>
        <rFont val="Arial"/>
        <family val="0"/>
        <charset val="1"/>
      </rPr>
      <t xml:space="preserve">.</t>
    </r>
  </si>
  <si>
    <t xml:space="preserve">S44;S45</t>
  </si>
  <si>
    <t xml:space="preserve">Detail: Metal can spark in a microwave. Move the food to a plate.</t>
  </si>
  <si>
    <t xml:space="preserve">melamine</t>
  </si>
  <si>
    <t xml:space="preserve">Melamine or bamboo dish</t>
  </si>
  <si>
    <r>
      <rPr>
        <sz val="10"/>
        <color rgb="FF333333"/>
        <rFont val="Noto Sans CJK SC"/>
        <family val="2"/>
      </rPr>
      <t xml:space="preserve">멜라민</t>
    </r>
    <r>
      <rPr>
        <sz val="10"/>
        <color rgb="FF333333"/>
        <rFont val="Arial"/>
        <family val="0"/>
        <charset val="1"/>
      </rPr>
      <t xml:space="preserve">·</t>
    </r>
    <r>
      <rPr>
        <sz val="10"/>
        <color rgb="FF333333"/>
        <rFont val="Noto Sans CJK SC"/>
        <family val="2"/>
      </rPr>
      <t xml:space="preserve">대나무 섬유 식기</t>
    </r>
  </si>
  <si>
    <t xml:space="preserve">Not for hot food or the microwave. Heat can make it release chemicals.</t>
  </si>
  <si>
    <r>
      <rPr>
        <sz val="10"/>
        <color rgb="FF333333"/>
        <rFont val="Noto Sans CJK SC"/>
        <family val="2"/>
      </rPr>
      <t xml:space="preserve">대나무 섬유 식기는 멜라민</t>
    </r>
    <r>
      <rPr>
        <sz val="10"/>
        <color rgb="FF333333"/>
        <rFont val="Arial"/>
        <family val="0"/>
        <charset val="1"/>
      </rPr>
      <t xml:space="preserve">-</t>
    </r>
    <r>
      <rPr>
        <sz val="10"/>
        <color rgb="FF333333"/>
        <rFont val="Noto Sans CJK SC"/>
        <family val="2"/>
      </rPr>
      <t xml:space="preserve">폼알데하이드 수지에 대나무 섬유를 섞은 것이다</t>
    </r>
    <r>
      <rPr>
        <sz val="10"/>
        <color rgb="FF333333"/>
        <rFont val="Arial"/>
        <family val="0"/>
        <charset val="1"/>
      </rPr>
      <t xml:space="preserve">. </t>
    </r>
    <r>
      <rPr>
        <sz val="10"/>
        <color rgb="FF333333"/>
        <rFont val="Noto Sans CJK SC"/>
        <family val="2"/>
      </rPr>
      <t xml:space="preserve">뜨거운 음식으로 멜라민과 폼알데하이드가 나올 수 있어 </t>
    </r>
    <r>
      <rPr>
        <sz val="10"/>
        <color rgb="FF333333"/>
        <rFont val="Arial"/>
        <family val="0"/>
        <charset val="1"/>
      </rPr>
      <t xml:space="preserve">BfR</t>
    </r>
    <r>
      <rPr>
        <sz val="10"/>
        <color rgb="FF333333"/>
        <rFont val="Noto Sans CJK SC"/>
        <family val="2"/>
      </rPr>
      <t xml:space="preserve">은 전자레인지 가열에 쓰지 말라고 권고한다 </t>
    </r>
    <r>
      <rPr>
        <sz val="10"/>
        <color rgb="FF333333"/>
        <rFont val="Arial"/>
        <family val="0"/>
        <charset val="1"/>
      </rPr>
      <t xml:space="preserve">[S82]. </t>
    </r>
    <r>
      <rPr>
        <sz val="10"/>
        <color rgb="FF333333"/>
        <rFont val="Noto Sans CJK SC"/>
        <family val="2"/>
      </rPr>
      <t xml:space="preserve">접시에 옮겨 담는다</t>
    </r>
    <r>
      <rPr>
        <sz val="10"/>
        <color rgb="FF333333"/>
        <rFont val="Arial"/>
        <family val="0"/>
        <charset val="1"/>
      </rPr>
      <t xml:space="preserve">.</t>
    </r>
  </si>
  <si>
    <t xml:space="preserve">Detail: 'Bamboo' tableware is melamine-formaldehyde resin with bamboo fibre; hot food can draw melamine and formaldehyde out of it, and BfR advises against heating food in it in the microwave [S82]. Move the food to a plate. Added after a bamboo-fibre bowl turned up in the store photos (2026-10-14).</t>
  </si>
  <si>
    <t xml:space="preserve">glass</t>
  </si>
  <si>
    <t xml:space="preserve">Glass dish</t>
  </si>
  <si>
    <t xml:space="preserve">유리 그릇</t>
  </si>
  <si>
    <t xml:space="preserve">inert</t>
  </si>
  <si>
    <t xml:space="preserve">No plastic touches your food.</t>
  </si>
  <si>
    <r>
      <rPr>
        <sz val="10"/>
        <color rgb="FF333333"/>
        <rFont val="Noto Sans CJK SC"/>
        <family val="2"/>
      </rPr>
      <t xml:space="preserve">음식이 플라스틱에 닿지 않는다</t>
    </r>
    <r>
      <rPr>
        <sz val="10"/>
        <color rgb="FF333333"/>
        <rFont val="Arial"/>
        <family val="0"/>
        <charset val="1"/>
      </rPr>
      <t xml:space="preserve">.</t>
    </r>
  </si>
  <si>
    <t xml:space="preserve">FSIS: use cookware made for microwave use.</t>
  </si>
  <si>
    <t xml:space="preserve">ceramic</t>
  </si>
  <si>
    <t xml:space="preserve">Plate or bowl</t>
  </si>
  <si>
    <r>
      <rPr>
        <sz val="10"/>
        <color rgb="FF333333"/>
        <rFont val="Noto Sans CJK SC"/>
        <family val="2"/>
      </rPr>
      <t xml:space="preserve">도자기 접시</t>
    </r>
    <r>
      <rPr>
        <sz val="10"/>
        <color rgb="FF333333"/>
        <rFont val="Arial"/>
        <family val="0"/>
        <charset val="1"/>
      </rPr>
      <t xml:space="preserve">·</t>
    </r>
    <r>
      <rPr>
        <sz val="10"/>
        <color rgb="FF333333"/>
        <rFont val="Noto Sans CJK SC"/>
        <family val="2"/>
      </rPr>
      <t xml:space="preserve">그릇</t>
    </r>
  </si>
  <si>
    <t xml:space="preserve">plate</t>
  </si>
  <si>
    <t xml:space="preserve">No plastic touches your food. Skip plates with gold or silver trim.</t>
  </si>
  <si>
    <r>
      <rPr>
        <sz val="10"/>
        <color rgb="FF333333"/>
        <rFont val="Noto Sans CJK SC"/>
        <family val="2"/>
      </rPr>
      <t xml:space="preserve">음식이 플라스틱에 닿지 않는다</t>
    </r>
    <r>
      <rPr>
        <sz val="10"/>
        <color rgb="FF333333"/>
        <rFont val="Arial"/>
        <family val="0"/>
        <charset val="1"/>
      </rPr>
      <t xml:space="preserve">. </t>
    </r>
    <r>
      <rPr>
        <sz val="10"/>
        <color rgb="FF333333"/>
        <rFont val="Noto Sans CJK SC"/>
        <family val="2"/>
      </rPr>
      <t xml:space="preserve">금테 접시는 피한다</t>
    </r>
    <r>
      <rPr>
        <sz val="10"/>
        <color rgb="FF333333"/>
        <rFont val="Arial"/>
        <family val="0"/>
        <charset val="1"/>
      </rPr>
      <t xml:space="preserve">.</t>
    </r>
  </si>
  <si>
    <t xml:space="preserve">S22;S44</t>
  </si>
  <si>
    <t xml:space="preserve">stove_pot</t>
  </si>
  <si>
    <t xml:space="preserve">Pot on the stove</t>
  </si>
  <si>
    <r>
      <rPr>
        <sz val="10"/>
        <color rgb="FF333333"/>
        <rFont val="Noto Sans CJK SC"/>
        <family val="2"/>
      </rPr>
      <t xml:space="preserve">냄비</t>
    </r>
    <r>
      <rPr>
        <sz val="10"/>
        <color rgb="FF333333"/>
        <rFont val="Arial"/>
        <family val="0"/>
        <charset val="1"/>
      </rPr>
      <t xml:space="preserve">(</t>
    </r>
    <r>
      <rPr>
        <sz val="10"/>
        <color rgb="FF333333"/>
        <rFont val="Noto Sans CJK SC"/>
        <family val="2"/>
      </rPr>
      <t xml:space="preserve">가스레인지</t>
    </r>
    <r>
      <rPr>
        <sz val="10"/>
        <color rgb="FF333333"/>
        <rFont val="Arial"/>
        <family val="0"/>
        <charset val="1"/>
      </rPr>
      <t xml:space="preserve">)</t>
    </r>
  </si>
  <si>
    <t xml:space="preserve">pot</t>
  </si>
  <si>
    <t xml:space="preserve">The food comes out of the package, so no plastic gets heated.</t>
  </si>
  <si>
    <r>
      <rPr>
        <sz val="10"/>
        <color rgb="FF333333"/>
        <rFont val="Noto Sans CJK SC"/>
        <family val="2"/>
      </rPr>
      <t xml:space="preserve">가열 전에 음식을 포장에서 꺼낸다</t>
    </r>
    <r>
      <rPr>
        <sz val="10"/>
        <color rgb="FF333333"/>
        <rFont val="Arial"/>
        <family val="0"/>
        <charset val="1"/>
      </rPr>
      <t xml:space="preserve">.</t>
    </r>
  </si>
  <si>
    <t xml:space="preserve">popcorn_bag</t>
  </si>
  <si>
    <t xml:space="preserve">Popcorn bag</t>
  </si>
  <si>
    <t xml:space="preserve">전자레인지 팝콘 봉투</t>
  </si>
  <si>
    <t xml:space="preserve">US popcorn bags no longer use PFAS coatings.</t>
  </si>
  <si>
    <r>
      <rPr>
        <sz val="10"/>
        <color rgb="FF333333"/>
        <rFont val="Noto Sans CJK SC"/>
        <family val="2"/>
      </rPr>
      <t xml:space="preserve">예전 팝콘 봉투에는 기름 방지용 </t>
    </r>
    <r>
      <rPr>
        <sz val="10"/>
        <color rgb="FF333333"/>
        <rFont val="Arial"/>
        <family val="0"/>
        <charset val="1"/>
      </rPr>
      <t xml:space="preserve">PFAS</t>
    </r>
    <r>
      <rPr>
        <sz val="10"/>
        <color rgb="FF333333"/>
        <rFont val="Noto Sans CJK SC"/>
        <family val="2"/>
      </rPr>
      <t xml:space="preserve">가 쓰였다</t>
    </r>
    <r>
      <rPr>
        <sz val="10"/>
        <color rgb="FF333333"/>
        <rFont val="Arial"/>
        <family val="0"/>
        <charset val="1"/>
      </rPr>
      <t xml:space="preserve">. FDA </t>
    </r>
    <r>
      <rPr>
        <sz val="10"/>
        <color rgb="FF333333"/>
        <rFont val="Noto Sans CJK SC"/>
        <family val="2"/>
      </rPr>
      <t xml:space="preserve">연구에서 봉투 속 </t>
    </r>
    <r>
      <rPr>
        <sz val="10"/>
        <color rgb="FF333333"/>
        <rFont val="Arial"/>
        <family val="0"/>
        <charset val="1"/>
      </rPr>
      <t xml:space="preserve">PFOA</t>
    </r>
    <r>
      <rPr>
        <sz val="10"/>
        <color rgb="FF333333"/>
        <rFont val="Noto Sans CJK SC"/>
        <family val="2"/>
      </rPr>
      <t xml:space="preserve">가 </t>
    </r>
    <r>
      <rPr>
        <sz val="10"/>
        <color rgb="FF333333"/>
        <rFont val="Arial"/>
        <family val="0"/>
        <charset val="1"/>
      </rPr>
      <t xml:space="preserve">6~290 µg/kg</t>
    </r>
    <r>
      <rPr>
        <sz val="10"/>
        <color rgb="FF333333"/>
        <rFont val="Noto Sans CJK SC"/>
        <family val="2"/>
      </rPr>
      <t xml:space="preserve">이었고</t>
    </r>
    <r>
      <rPr>
        <sz val="10"/>
        <color rgb="FF333333"/>
        <rFont val="Arial"/>
        <family val="0"/>
        <charset val="1"/>
      </rPr>
      <t xml:space="preserve">, </t>
    </r>
    <r>
      <rPr>
        <sz val="10"/>
        <color rgb="FF333333"/>
        <rFont val="Noto Sans CJK SC"/>
        <family val="2"/>
      </rPr>
      <t xml:space="preserve">튀긴 뒤 기름에서 플루오로텔로머 코팅 물질이 </t>
    </r>
    <r>
      <rPr>
        <sz val="10"/>
        <color rgb="FF333333"/>
        <rFont val="Arial"/>
        <family val="0"/>
        <charset val="1"/>
      </rPr>
      <t xml:space="preserve">2.1 mg/kg </t>
    </r>
    <r>
      <rPr>
        <sz val="10"/>
        <color rgb="FF333333"/>
        <rFont val="Noto Sans CJK SC"/>
        <family val="2"/>
      </rPr>
      <t xml:space="preserve">나왔다</t>
    </r>
    <r>
      <rPr>
        <sz val="10"/>
        <color rgb="FF333333"/>
        <rFont val="Arial"/>
        <family val="0"/>
        <charset val="1"/>
      </rPr>
      <t xml:space="preserve">. Conagra</t>
    </r>
    <r>
      <rPr>
        <sz val="10"/>
        <color rgb="FF333333"/>
        <rFont val="Noto Sans CJK SC"/>
        <family val="2"/>
      </rPr>
      <t xml:space="preserve">는 </t>
    </r>
    <r>
      <rPr>
        <sz val="10"/>
        <color rgb="FF333333"/>
        <rFont val="Arial"/>
        <family val="0"/>
        <charset val="1"/>
      </rPr>
      <t xml:space="preserve">2022</t>
    </r>
    <r>
      <rPr>
        <sz val="10"/>
        <color rgb="FF333333"/>
        <rFont val="Noto Sans CJK SC"/>
        <family val="2"/>
      </rPr>
      <t xml:space="preserve">년 </t>
    </r>
    <r>
      <rPr>
        <sz val="10"/>
        <color rgb="FF333333"/>
        <rFont val="Arial"/>
        <family val="0"/>
        <charset val="1"/>
      </rPr>
      <t xml:space="preserve">Act II </t>
    </r>
    <r>
      <rPr>
        <sz val="10"/>
        <color rgb="FF333333"/>
        <rFont val="Noto Sans CJK SC"/>
        <family val="2"/>
      </rPr>
      <t xml:space="preserve">봉투에서 </t>
    </r>
    <r>
      <rPr>
        <sz val="10"/>
        <color rgb="FF333333"/>
        <rFont val="Arial"/>
        <family val="0"/>
        <charset val="1"/>
      </rPr>
      <t xml:space="preserve">PFAS</t>
    </r>
    <r>
      <rPr>
        <sz val="10"/>
        <color rgb="FF333333"/>
        <rFont val="Noto Sans CJK SC"/>
        <family val="2"/>
      </rPr>
      <t xml:space="preserve">를 뺐다고 밝혔고</t>
    </r>
    <r>
      <rPr>
        <sz val="10"/>
        <color rgb="FF333333"/>
        <rFont val="Arial"/>
        <family val="0"/>
        <charset val="1"/>
      </rPr>
      <t xml:space="preserve">, </t>
    </r>
    <r>
      <rPr>
        <sz val="10"/>
        <color rgb="FF333333"/>
        <rFont val="Noto Sans CJK SC"/>
        <family val="2"/>
      </rPr>
      <t xml:space="preserve">미국에서는 </t>
    </r>
    <r>
      <rPr>
        <sz val="10"/>
        <color rgb="FF333333"/>
        <rFont val="Arial"/>
        <family val="0"/>
        <charset val="1"/>
      </rPr>
      <t xml:space="preserve">2024</t>
    </r>
    <r>
      <rPr>
        <sz val="10"/>
        <color rgb="FF333333"/>
        <rFont val="Noto Sans CJK SC"/>
        <family val="2"/>
      </rPr>
      <t xml:space="preserve">년부터 </t>
    </r>
    <r>
      <rPr>
        <sz val="10"/>
        <color rgb="FF333333"/>
        <rFont val="Arial"/>
        <family val="0"/>
        <charset val="1"/>
      </rPr>
      <t xml:space="preserve">PFAS </t>
    </r>
    <r>
      <rPr>
        <sz val="10"/>
        <color rgb="FF333333"/>
        <rFont val="Noto Sans CJK SC"/>
        <family val="2"/>
      </rPr>
      <t xml:space="preserve">기름 방지제가 팔리지 않는다</t>
    </r>
    <r>
      <rPr>
        <sz val="10"/>
        <color rgb="FF333333"/>
        <rFont val="Arial"/>
        <family val="0"/>
        <charset val="1"/>
      </rPr>
      <t xml:space="preserve">. </t>
    </r>
    <r>
      <rPr>
        <sz val="10"/>
        <color rgb="FF333333"/>
        <rFont val="Noto Sans CJK SC"/>
        <family val="2"/>
      </rPr>
      <t xml:space="preserve">현재 봉투에는 숫자를 보여 주지 않는다</t>
    </r>
    <r>
      <rPr>
        <sz val="10"/>
        <color rgb="FF333333"/>
        <rFont val="Arial"/>
        <family val="0"/>
        <charset val="1"/>
      </rPr>
      <t xml:space="preserve">.</t>
    </r>
  </si>
  <si>
    <t xml:space="preserve">S64;S65;S63</t>
  </si>
  <si>
    <t xml:space="preserve">Detail: Older popcorn bags used PFAS grease-proofing: an FDA study found PFOA at 6-290 ug/kg in bags and a fluorotelomer coating chemical at 2.1 mg/kg in oil after popping. Conagra says it removed PFAS from Act II bags in 2022, and PFAS grease-proofing agents are no longer sold in the US (2024). No number is shown for current bags. Susceptor (metallised PET) reaches over 200 C; models for 100 C do not apply.</t>
  </si>
  <si>
    <t xml:space="preserve">susceptor_sleeve</t>
  </si>
  <si>
    <t xml:space="preserve">Crisping sleeve</t>
  </si>
  <si>
    <r>
      <rPr>
        <sz val="10"/>
        <color rgb="FF333333"/>
        <rFont val="Noto Sans CJK SC"/>
        <family val="2"/>
      </rPr>
      <t xml:space="preserve">크리스핑 슬리브</t>
    </r>
    <r>
      <rPr>
        <sz val="10"/>
        <color rgb="FF333333"/>
        <rFont val="Arial"/>
        <family val="0"/>
        <charset val="1"/>
      </rPr>
      <t xml:space="preserve">(</t>
    </r>
    <r>
      <rPr>
        <sz val="10"/>
        <color rgb="FF333333"/>
        <rFont val="Noto Sans CJK SC"/>
        <family val="2"/>
      </rPr>
      <t xml:space="preserve">서셉터</t>
    </r>
    <r>
      <rPr>
        <sz val="10"/>
        <color rgb="FF333333"/>
        <rFont val="Arial"/>
        <family val="0"/>
        <charset val="1"/>
      </rPr>
      <t xml:space="preserve">)</t>
    </r>
  </si>
  <si>
    <t xml:space="preserve">sleeve</t>
  </si>
  <si>
    <t xml:space="preserve">These get much hotter than boiling, so I can't estimate them.</t>
  </si>
  <si>
    <r>
      <rPr>
        <sz val="10"/>
        <color rgb="FF333333"/>
        <rFont val="Arial"/>
        <family val="0"/>
        <charset val="1"/>
      </rPr>
      <t xml:space="preserve">Hot Pockets</t>
    </r>
    <r>
      <rPr>
        <sz val="10"/>
        <color rgb="FF333333"/>
        <rFont val="Noto Sans CJK SC"/>
        <family val="2"/>
      </rPr>
      <t xml:space="preserve">는 </t>
    </r>
    <r>
      <rPr>
        <sz val="10"/>
        <color rgb="FF333333"/>
        <rFont val="Arial"/>
        <family val="0"/>
        <charset val="1"/>
      </rPr>
      <t xml:space="preserve">2024</t>
    </r>
    <r>
      <rPr>
        <sz val="10"/>
        <color rgb="FF333333"/>
        <rFont val="Noto Sans CJK SC"/>
        <family val="2"/>
      </rPr>
      <t xml:space="preserve">년에 크리스핑 슬리브를 없앴다</t>
    </r>
    <r>
      <rPr>
        <sz val="10"/>
        <color rgb="FF333333"/>
        <rFont val="Arial"/>
        <family val="0"/>
        <charset val="1"/>
      </rPr>
      <t xml:space="preserve">. 1992</t>
    </r>
    <r>
      <rPr>
        <sz val="10"/>
        <color rgb="FF333333"/>
        <rFont val="Noto Sans CJK SC"/>
        <family val="2"/>
      </rPr>
      <t xml:space="preserve">년 영국 연구에서 서셉터 위에서 조리한 피자에서 에폭시 접착제 성분 </t>
    </r>
    <r>
      <rPr>
        <sz val="10"/>
        <color rgb="FF333333"/>
        <rFont val="Arial"/>
        <family val="0"/>
        <charset val="1"/>
      </rPr>
      <t xml:space="preserve">BADGE</t>
    </r>
    <r>
      <rPr>
        <sz val="10"/>
        <color rgb="FF333333"/>
        <rFont val="Noto Sans CJK SC"/>
        <family val="2"/>
      </rPr>
      <t xml:space="preserve">가 </t>
    </r>
    <r>
      <rPr>
        <sz val="10"/>
        <color rgb="FF333333"/>
        <rFont val="Arial"/>
        <family val="0"/>
        <charset val="1"/>
      </rPr>
      <t xml:space="preserve">0.1~0.7 mg/kg </t>
    </r>
    <r>
      <rPr>
        <sz val="10"/>
        <color rgb="FF333333"/>
        <rFont val="Noto Sans CJK SC"/>
        <family val="2"/>
      </rPr>
      <t xml:space="preserve">나왔다</t>
    </r>
    <r>
      <rPr>
        <sz val="10"/>
        <color rgb="FF333333"/>
        <rFont val="Arial"/>
        <family val="0"/>
        <charset val="1"/>
      </rPr>
      <t xml:space="preserve">. </t>
    </r>
    <r>
      <rPr>
        <sz val="10"/>
        <color rgb="FF333333"/>
        <rFont val="Noto Sans CJK SC"/>
        <family val="2"/>
      </rPr>
      <t xml:space="preserve">서셉터는 </t>
    </r>
    <r>
      <rPr>
        <sz val="10"/>
        <color rgb="FF333333"/>
        <rFont val="Arial"/>
        <family val="0"/>
        <charset val="1"/>
      </rPr>
      <t xml:space="preserve">100 °C</t>
    </r>
    <r>
      <rPr>
        <sz val="10"/>
        <color rgb="FF333333"/>
        <rFont val="Noto Sans CJK SC"/>
        <family val="2"/>
      </rPr>
      <t xml:space="preserve">보다 훨씬 뜨거워지므로 앱은 이를 모델로 계산하지 않는다</t>
    </r>
    <r>
      <rPr>
        <sz val="10"/>
        <color rgb="FF333333"/>
        <rFont val="Arial"/>
        <family val="0"/>
        <charset val="1"/>
      </rPr>
      <t xml:space="preserve">.</t>
    </r>
  </si>
  <si>
    <t xml:space="preserve">S66;S67</t>
  </si>
  <si>
    <t xml:space="preserve">Detail: Hot Pockets removed crisping sleeves in 2024. A 1992 UK study found the epoxy adhesive component BADGE at 0.1-0.7 mg/kg in pizza cooked on susceptors. Susceptors run far hotter than 100 C, so the app does not model them. BADGE TDI 0.15 mg/kg bw/day (EFSA 2004) is UNVERIFIED in this build, so no percentage is computed.</t>
  </si>
  <si>
    <t xml:space="preserve">Class</t>
  </si>
  <si>
    <t xml:space="preserve">Fat fraction min</t>
  </si>
  <si>
    <t xml:space="preserve">Fat fraction max</t>
  </si>
  <si>
    <t xml:space="preserve">Partition rule</t>
  </si>
  <si>
    <t xml:space="preserve">EtOH-eq low (%)</t>
  </si>
  <si>
    <t xml:space="preserve">EtOH-eq high (%)</t>
  </si>
  <si>
    <t xml:space="preserve">Contact T cap low (C)</t>
  </si>
  <si>
    <t xml:space="preserve">Contact T cap high (C)</t>
  </si>
  <si>
    <t xml:space="preserve">lean</t>
  </si>
  <si>
    <t xml:space="preserve">EtOH-eq uniform 10-60 %; log Kpf from the Huang and Jolliet 2019 regression</t>
  </si>
  <si>
    <t xml:space="preserve">ASSUMPTION (EtOH-eq range anchored to simulant A and dataset assignments)</t>
  </si>
  <si>
    <t xml:space="preserve">S81;S76</t>
  </si>
  <si>
    <t xml:space="preserve">Watery foods. EU simulant A (10 % ethanol) for aqueous food; the partition dataset assigns fruit juices 40 % and milk with 1.5-3 % fat 60 %. Contact temperature capped at boiling.</t>
  </si>
  <si>
    <t xml:space="preserve">medium</t>
  </si>
  <si>
    <t xml:space="preserve">EtOH-eq uniform 50-80 %; log Kpf from the Huang and Jolliet 2019 regression</t>
  </si>
  <si>
    <t xml:space="preserve">S81;S76;S28</t>
  </si>
  <si>
    <t xml:space="preserve">Sauces, cheese, emulsions. EU simulant D1 (50 % ethanol) covers oil-in-water emulsions and dairy; the upper end allows for free fat in cheese sauces.</t>
  </si>
  <si>
    <t xml:space="preserve">fatty</t>
  </si>
  <si>
    <t xml:space="preserve">EtOH-eq uniform 80-100 %; log Kpf from the Huang and Jolliet 2019 regression</t>
  </si>
  <si>
    <t xml:space="preserve">ASSUMPTION (EtOH-eq anchored to the 95 % ethanol substitute for oil)</t>
  </si>
  <si>
    <t xml:space="preserve">S81;S76;S29;S30</t>
  </si>
  <si>
    <t xml:space="preserve">Fat-rich foods. EU rules accept 95 % ethanol as a substitute test for vegetable oil (D2). Fat-rich foods heat faster than water and oil can pass 100 C; HK CFS tested fatty food at 120 C.</t>
  </si>
  <si>
    <t xml:space="preserve">EtOH-eq is the ethanol share (v/v) of a water-ethanol mixture that dissolves migrants like the food does. It feeds the partition regression on the KpfModel sheet [S76, S77]. Antimony (inorganic) uses K = 1 [S01].</t>
  </si>
  <si>
    <t xml:space="preserve">Coefficient</t>
  </si>
  <si>
    <t xml:space="preserve">Term</t>
  </si>
  <si>
    <t xml:space="preserve">b0</t>
  </si>
  <si>
    <t xml:space="preserve">Intercept</t>
  </si>
  <si>
    <t xml:space="preserve">b_kow</t>
  </si>
  <si>
    <t xml:space="preserve">b_etoh</t>
  </si>
  <si>
    <t xml:space="preserve">EtOH-eq (%)</t>
  </si>
  <si>
    <t xml:space="preserve">b_kow_etoh</t>
  </si>
  <si>
    <t xml:space="preserve">log Kow x EtOH-eq</t>
  </si>
  <si>
    <t xml:space="preserve">b_invt</t>
  </si>
  <si>
    <t xml:space="preserve">(1/T - 1/298.15), T in K</t>
  </si>
  <si>
    <t xml:space="preserve">Material offsets (log10 units)</t>
  </si>
  <si>
    <t xml:space="preserve">Offset</t>
  </si>
  <si>
    <t xml:space="preserve">Average HDPE/LDPE</t>
  </si>
  <si>
    <t xml:space="preserve">Carbohydrates</t>
  </si>
  <si>
    <t xml:space="preserve">Ethylene-vinyl acetate copolymer (EVA)</t>
  </si>
  <si>
    <t xml:space="preserve">Ionomer (Surlyn 1652, 1702)</t>
  </si>
  <si>
    <t xml:space="preserve">Poly 2-hydroxyethylmethacrylate</t>
  </si>
  <si>
    <t xml:space="preserve">Polycaprolactone related polymers</t>
  </si>
  <si>
    <t xml:space="preserve">Polydimethylsiloxane (PDMS)</t>
  </si>
  <si>
    <t xml:space="preserve">Polyoxymethylene (POM)</t>
  </si>
  <si>
    <t xml:space="preserve">Silicone rubber</t>
  </si>
  <si>
    <t xml:space="preserve">Starch, Cellulose</t>
  </si>
  <si>
    <t xml:space="preserve">Applicability domain: highest measured log Kow per EtOH-eq band (the engine caps log Kow here)</t>
  </si>
  <si>
    <t xml:space="preserve">EtOH-eq from (%)</t>
  </si>
  <si>
    <t xml:space="preserve">EtOH-eq to (%)</t>
  </si>
  <si>
    <t xml:space="preserve">log Kow min</t>
  </si>
  <si>
    <t xml:space="preserve">log Kow max</t>
  </si>
  <si>
    <t xml:space="preserve">Rows</t>
  </si>
  <si>
    <t xml:space="preserve">Example: DEHP (log Kow 7.5) in PP homopolymer, lean food (EtOH-eq 35 %), 100 C</t>
  </si>
  <si>
    <t xml:space="preserve">log10 Kpf</t>
  </si>
  <si>
    <t xml:space="preserve">Old rule (v0.2) used log10 K = 3 for every lipophilic migrant in lean food.</t>
  </si>
  <si>
    <t xml:space="preserve">log10 Kpf = b0 + b_kow*logKow + b_etoh*EtOH + b_kow_etoh*logKow*EtOH + b_invt*(1/T - 1/298.15) + material offset</t>
  </si>
  <si>
    <t xml:space="preserve">Kpf = concentration in polymer / concentration in food (volume basis); EtOH in % v/v; T in K</t>
  </si>
  <si>
    <t xml:space="preserve">Residual SD 0.79 log10 units. RMSE of the refitted regression when each chemical is held out (GroupKFold by CAS); whole-study hold-out gives 1.11. Sources S76, S79.</t>
  </si>
  <si>
    <t xml:space="preserve">T0_frozen_C</t>
  </si>
  <si>
    <t xml:space="preserve">C</t>
  </si>
  <si>
    <t xml:space="preserve">Home freezer temperature (0 F).</t>
  </si>
  <si>
    <t xml:space="preserve">T0_chilled_C</t>
  </si>
  <si>
    <t xml:space="preserve">Refrigerator temperature (40 F).</t>
  </si>
  <si>
    <t xml:space="preserve">T0_shelf_C</t>
  </si>
  <si>
    <t xml:space="preserve">Room temperature for shelf-stable cups, bowls and pouches.</t>
  </si>
  <si>
    <t xml:space="preserve">water_fraction</t>
  </si>
  <si>
    <t xml:space="preserve">g/g</t>
  </si>
  <si>
    <t xml:space="preserve">UNVERIFIED</t>
  </si>
  <si>
    <t xml:space="preserve">Typical frozen meal water content 70-80 %; replace per product with USDA FoodData Central values.</t>
  </si>
  <si>
    <t xml:space="preserve">c_water</t>
  </si>
  <si>
    <t xml:space="preserve">J/(g K)</t>
  </si>
  <si>
    <t xml:space="preserve">Specific heat of liquid water.</t>
  </si>
  <si>
    <t xml:space="preserve">c_solids</t>
  </si>
  <si>
    <t xml:space="preserve">Specific heat of food solids (protein, fat, carbohydrate are roughly 1.5-2.0).</t>
  </si>
  <si>
    <t xml:space="preserve">c_frozen</t>
  </si>
  <si>
    <t xml:space="preserve">VERIFIED (illustrative)</t>
  </si>
  <si>
    <t xml:space="preserve">Frozen food heat capacity used in the worked example of S27.</t>
  </si>
  <si>
    <t xml:space="preserve">latent_heat_water</t>
  </si>
  <si>
    <t xml:space="preserve">J/g</t>
  </si>
  <si>
    <t xml:space="preserve">Latent heat of fusion of water; multiplied by water_fraction.</t>
  </si>
  <si>
    <t xml:space="preserve">T_target_avg_C</t>
  </si>
  <si>
    <t xml:space="preserve">Average food temperature reached when the label recipe ends. FSIS requires at least 165 F (74 C) at the coldest point, so the average is set above it.</t>
  </si>
  <si>
    <t xml:space="preserve">T_boil_C</t>
  </si>
  <si>
    <t xml:space="preserve">Watery food cannot pass 100 C at 1 atm.</t>
  </si>
  <si>
    <t xml:space="preserve">edge_excess_C</t>
  </si>
  <si>
    <t xml:space="preserve">Food next to the container wall is hotter than the average. Jung 2022 saw edges at 100 C while the rest stayed below 80 C.</t>
  </si>
  <si>
    <t xml:space="preserve">edge_excess_low_C</t>
  </si>
  <si>
    <t xml:space="preserve">Monte Carlo lower bound.</t>
  </si>
  <si>
    <t xml:space="preserve">edge_excess_high_C</t>
  </si>
  <si>
    <t xml:space="preserve">Monte Carlo upper bound.</t>
  </si>
  <si>
    <t xml:space="preserve">power_factor_low</t>
  </si>
  <si>
    <t xml:space="preserve">-</t>
  </si>
  <si>
    <t xml:space="preserve">Real output of a rated oven, lower bound (about -15 %).</t>
  </si>
  <si>
    <t xml:space="preserve">power_factor_high</t>
  </si>
  <si>
    <t xml:space="preserve">Upper bound (+15 %).</t>
  </si>
  <si>
    <t xml:space="preserve">area_factor_low</t>
  </si>
  <si>
    <t xml:space="preserve">Contact area uncertainty.</t>
  </si>
  <si>
    <t xml:space="preserve">area_factor_high</t>
  </si>
  <si>
    <t xml:space="preserve">area_ref_mass_g</t>
  </si>
  <si>
    <t xml:space="preserve">g</t>
  </si>
  <si>
    <t xml:space="preserve">Reference food mass for the container area values; area scales with (mass/300)^(2/3).</t>
  </si>
  <si>
    <t xml:space="preserve">food_density</t>
  </si>
  <si>
    <t xml:space="preserve">g/cm3</t>
  </si>
  <si>
    <t xml:space="preserve">S27 uses 1.05 in its example.</t>
  </si>
  <si>
    <t xml:space="preserve">default_ref_watt</t>
  </si>
  <si>
    <t xml:space="preserve">W</t>
  </si>
  <si>
    <t xml:space="preserve">Used when a label gives times without a wattage; 13 of 15 seed labels with a single reference use 1100 W.</t>
  </si>
  <si>
    <t xml:space="preserve">eat_minutes</t>
  </si>
  <si>
    <t xml:space="preserve">min</t>
  </si>
  <si>
    <t xml:space="preserve">Time the food sits in the container while being eaten.</t>
  </si>
  <si>
    <t xml:space="preserve">eat_end_C</t>
  </si>
  <si>
    <t xml:space="preserve">Food temperature at the end of eating.</t>
  </si>
  <si>
    <t xml:space="preserve">dt_s</t>
  </si>
  <si>
    <t xml:space="preserve">s</t>
  </si>
  <si>
    <t xml:space="preserve">Time step of the temperature-diffusion integration.</t>
  </si>
  <si>
    <t xml:space="preserve">short_time_Fo</t>
  </si>
  <si>
    <t xml:space="preserve">Below this Fourier number the semi-infinite (short-time) Crank solution is used.</t>
  </si>
  <si>
    <t xml:space="preserve">mc_samples</t>
  </si>
  <si>
    <t xml:space="preserve">Monte Carlo samples per evaluation.</t>
  </si>
  <si>
    <t xml:space="preserve">mc_seed</t>
  </si>
  <si>
    <t xml:space="preserve">Fixed seed so results are reproducible.</t>
  </si>
  <si>
    <t xml:space="preserve">band_low_pct</t>
  </si>
  <si>
    <t xml:space="preserve">% TDI</t>
  </si>
  <si>
    <t xml:space="preserve">DERIVED</t>
  </si>
  <si>
    <t xml:space="preserve">Below this the meal uses under one tenth of the 20 % of the TDI that EU rules allocate to food contact materials.</t>
  </si>
  <si>
    <t xml:space="preserve">band_high_pct</t>
  </si>
  <si>
    <t xml:space="preserve">At or above this one meal uses half of the 20 % allocation.</t>
  </si>
  <si>
    <t xml:space="preserve">daily_alert_pct</t>
  </si>
  <si>
    <t xml:space="preserve">Daily packaging share equal to the EU allocation factor (20 % of the TDI).</t>
  </si>
  <si>
    <t xml:space="preserve">steam_onset_fraction</t>
  </si>
  <si>
    <t xml:space="preserve">Steam bags: once this share of the label energy is delivered, the film sits in steam at 100 C. A patent steam bag reached 95-102 C after 4 min of a 5-6 min cook; the generic wall model gave only 46 C (validation V6).</t>
  </si>
  <si>
    <t xml:space="preserve">energy_short_ratio</t>
  </si>
  <si>
    <t xml:space="preserve">Below 95 % of the label energy the app warns the food may not reach 165 F.</t>
  </si>
  <si>
    <t xml:space="preserve">R_gas</t>
  </si>
  <si>
    <t xml:space="preserve">J/(mol K)</t>
  </si>
  <si>
    <t xml:space="preserve">Gas constant (CODATA).</t>
  </si>
  <si>
    <t xml:space="preserve">d_weight_central</t>
  </si>
  <si>
    <t xml:space="preserve">S78;S01</t>
  </si>
  <si>
    <t xml:space="preserve">Position between the realistic diffusion coefficient (Huang 2017 QPPR, 0) and the regulatory upper bound (Piringer, 1) on a log scale. 0.5 is the log midpoint.</t>
  </si>
  <si>
    <t xml:space="preserve">d_weight_low</t>
  </si>
  <si>
    <t xml:space="preserve">Monte Carlo lower end: Huang 2017 QPPR value.</t>
  </si>
  <si>
    <t xml:space="preserve">d_weight_high</t>
  </si>
  <si>
    <t xml:space="preserve">Monte Carlo upper end: Piringer upper bound.</t>
  </si>
  <si>
    <t xml:space="preserve">kpf_resid_sd</t>
  </si>
  <si>
    <t xml:space="preserve">log10</t>
  </si>
  <si>
    <t xml:space="preserve">Prediction error of the partition regression when each chemical is held out (ml/train_kpf.py, GroupKFold by CAS). Monte Carlo adds a normal error with this SD.</t>
  </si>
  <si>
    <t xml:space="preserve">kpf_t_ref_K</t>
  </si>
  <si>
    <t xml:space="preserve">K</t>
  </si>
  <si>
    <t xml:space="preserve">Reference temperature of the partition regression.</t>
  </si>
  <si>
    <t xml:space="preserve">Body weight (kg)</t>
  </si>
  <si>
    <t xml:space="preserve">adult</t>
  </si>
  <si>
    <t xml:space="preserve">EFSA default adult body weight.</t>
  </si>
  <si>
    <t xml:space="preserve">adult_eu_fcm</t>
  </si>
  <si>
    <t xml:space="preserve">Convention behind EU specific migration limits (60 kg eating 1 kg food).</t>
  </si>
  <si>
    <t xml:space="preserve">teen</t>
  </si>
  <si>
    <t xml:space="preserve">Placeholder for ages 13-17; the user should enter real weight.</t>
  </si>
  <si>
    <t xml:space="preserve">child</t>
  </si>
  <si>
    <t xml:space="preserve">Placeholder for ages 8-12; the user should enter real weight.</t>
  </si>
  <si>
    <t xml:space="preserve">toddler</t>
  </si>
  <si>
    <t xml:space="preserve">EFSA default toddler body weight.</t>
  </si>
  <si>
    <t xml:space="preserve">Brand</t>
  </si>
  <si>
    <t xml:space="preserve">Product</t>
  </si>
  <si>
    <t xml:space="preserve">UPC</t>
  </si>
  <si>
    <t xml:space="preserve">Category</t>
  </si>
  <si>
    <t xml:space="preserve">Net (oz)</t>
  </si>
  <si>
    <t xml:space="preserve">Net (g, label)</t>
  </si>
  <si>
    <t xml:space="preserve">Net (g)</t>
  </si>
  <si>
    <t xml:space="preserve">Servings</t>
  </si>
  <si>
    <t xml:space="preserve">Serving (g)</t>
  </si>
  <si>
    <t xml:space="preserve">Fat per serving (g)</t>
  </si>
  <si>
    <t xml:space="preserve">Added water (g)</t>
  </si>
  <si>
    <t xml:space="preserve">Food mass (g)</t>
  </si>
  <si>
    <t xml:space="preserve">Fat fraction</t>
  </si>
  <si>
    <t xml:space="preserve">Fat class</t>
  </si>
  <si>
    <t xml:space="preserve">Storage</t>
  </si>
  <si>
    <t xml:space="preserve">Container key</t>
  </si>
  <si>
    <t xml:space="preserve">Container confidence</t>
  </si>
  <si>
    <t xml:space="preserve">Container note</t>
  </si>
  <si>
    <t xml:space="preserve">Reference watt</t>
  </si>
  <si>
    <t xml:space="preserve">Instructions</t>
  </si>
  <si>
    <t xml:space="preserve">Do not microwave</t>
  </si>
  <si>
    <t xml:space="preserve">Low-watt note</t>
  </si>
  <si>
    <t xml:space="preserve">Do-not statements</t>
  </si>
  <si>
    <t xml:space="preserve">Oven directions</t>
  </si>
  <si>
    <t xml:space="preserve">Container description</t>
  </si>
  <si>
    <t xml:space="preserve">Data flags</t>
  </si>
  <si>
    <t xml:space="preserve">Source URLs</t>
  </si>
  <si>
    <t xml:space="preserve">zw-001</t>
  </si>
  <si>
    <t xml:space="preserve">Banquet</t>
  </si>
  <si>
    <t xml:space="preserve">Mega Bowls Mike's Hot Honey Chicken Mac 'N Cheese</t>
  </si>
  <si>
    <t xml:space="preserve">031000008550</t>
  </si>
  <si>
    <t xml:space="preserve">frozen_tray</t>
  </si>
  <si>
    <t xml:space="preserve">frozen</t>
  </si>
  <si>
    <t xml:space="preserve">inferred</t>
  </si>
  <si>
    <t xml:space="preserve">Same tray goes into a 375 F oven, which plastic other than CPET does not survive.</t>
  </si>
  <si>
    <t xml:space="preserve">complete</t>
  </si>
  <si>
    <t xml:space="preserve">no</t>
  </si>
  <si>
    <t xml:space="preserve">None given. Label says appliances vary and to adjust times.</t>
  </si>
  <si>
    <t xml:space="preserve">Do not prepare in toaster oven | Cook only one at a time | Keep frozen, do not thaw</t>
  </si>
  <si>
    <t xml:space="preserve">375°F, vent film, on baking sheet 45 min, stand 2 min, stir.</t>
  </si>
  <si>
    <t xml:space="preserve">Film-covered bowl tray; same tray is used in the 375°F oven per the directions. Material not stated.</t>
  </si>
  <si>
    <t xml:space="preserve">https://smartlabel.labelinsight.com/product/18609278/other/instructions https://smartlabel.labelinsight.com/product/18609278/nutrition</t>
  </si>
  <si>
    <t xml:space="preserve">zw-002</t>
  </si>
  <si>
    <t xml:space="preserve">Healthy Choice</t>
  </si>
  <si>
    <t xml:space="preserve">Lemon Parmesan Chicken</t>
  </si>
  <si>
    <t xml:space="preserve">072655003217</t>
  </si>
  <si>
    <t xml:space="preserve">unknown</t>
  </si>
  <si>
    <t xml:space="preserve">Material not stated; confirm by photo (black = CPET, clear or white = PP).</t>
  </si>
  <si>
    <t xml:space="preserve">None given. Label says to adjust times for your appliance.</t>
  </si>
  <si>
    <t xml:space="preserve">Cook only one at a time | Keep frozen, do not thaw</t>
  </si>
  <si>
    <t xml:space="preserve">Film-covered tray (film is lifted and replaced mid-cook). Material not stated.</t>
  </si>
  <si>
    <t xml:space="preserve">nutrition page returned a server error on two attempts</t>
  </si>
  <si>
    <t xml:space="preserve">https://smartlabel.labelinsight.com/product/18859044/other/instructions</t>
  </si>
  <si>
    <t xml:space="preserve">zw-003</t>
  </si>
  <si>
    <t xml:space="preserve">Marie Callender's</t>
  </si>
  <si>
    <t xml:space="preserve">Cajun Style Chicken Alfredo Bowl</t>
  </si>
  <si>
    <t xml:space="preserve">021131000226</t>
  </si>
  <si>
    <t xml:space="preserve">Oven-safe at 375 F with film on.</t>
  </si>
  <si>
    <t xml:space="preserve">None given.</t>
  </si>
  <si>
    <t xml:space="preserve">Do not prepare in toaster oven | Do not remove film before oven cooking | Cook only one at a time | Keep frozen, do not thaw</t>
  </si>
  <si>
    <t xml:space="preserve">375°F, leave film on, on baking sheet 50 min, stand 2 min, stir.</t>
  </si>
  <si>
    <t xml:space="preserve">Film-covered bowl tray; oven-safe per directions (baked at 375°F with film on). Material not stated.</t>
  </si>
  <si>
    <t xml:space="preserve">no microwave stand time listed on label</t>
  </si>
  <si>
    <t xml:space="preserve">https://smartlabel.labelinsight.com/product/15972825/other/instructions https://smartlabel.labelinsight.com/product/15972825/nutrition</t>
  </si>
  <si>
    <t xml:space="preserve">zw-004</t>
  </si>
  <si>
    <t xml:space="preserve">Fettuccini With Chicken &amp; Broccoli Dinner</t>
  </si>
  <si>
    <t xml:space="preserve">021131504755</t>
  </si>
  <si>
    <t xml:space="preserve">Oven directions use the same tray at 350 F.</t>
  </si>
  <si>
    <t xml:space="preserve">350°F, vent film corner, on baking sheet 45-48 min, stand 2 min, stir.</t>
  </si>
  <si>
    <t xml:space="preserve">Film-sealed tray with vent corner marked 'Push here to open'. Material not stated.</t>
  </si>
  <si>
    <t xml:space="preserve">https://smartlabel.labelinsight.com/product/6903342/other/instructions https://smartlabel.labelinsight.com/product/6903342/nutrition</t>
  </si>
  <si>
    <t xml:space="preserve">zw-005</t>
  </si>
  <si>
    <t xml:space="preserve">Stouffer's</t>
  </si>
  <si>
    <t xml:space="preserve">Classic Meatloaf</t>
  </si>
  <si>
    <t xml:space="preserve">Stouffer's uses both plastic trays (no black pigment) and pressed paper trays; microwave-only label; confirm by photo [S68].</t>
  </si>
  <si>
    <t xml:space="preserve">Do not reheat tray | Do not prepare in toaster oven</t>
  </si>
  <si>
    <t xml:space="preserve">Film-covered tray; label says not to reheat the tray. Material not stated.</t>
  </si>
  <si>
    <t xml:space="preserve">retailer copy of label; directions may be abridged (no mid-cook stir step shown) | UPC not shown</t>
  </si>
  <si>
    <t xml:space="preserve">https://www.safeway.com/shop/pd/stouffers-classic-meatloaf-frozen-meal-16-oz/960010754</t>
  </si>
  <si>
    <t xml:space="preserve">zw-006</t>
  </si>
  <si>
    <t xml:space="preserve">Macaroni &amp; Cheese (single serve)</t>
  </si>
  <si>
    <t xml:space="preserve">00013800103406</t>
  </si>
  <si>
    <t xml:space="preserve">Stouffer's says single-serve trays changed from plastic to paper [S68]; coating not stated.</t>
  </si>
  <si>
    <t xml:space="preserve">partial</t>
  </si>
  <si>
    <t xml:space="preserve">Do not prepare in toaster oven | Do not reheat tray</t>
  </si>
  <si>
    <t xml:space="preserve">Carton opened by 'push in, pull out'; tray must not be reheated. Material not stated.</t>
  </si>
  <si>
    <t xml:space="preserve">only total time (5.5 min) available; venting, stir and stand steps and wattage missing; stouffers.com page failed to load</t>
  </si>
  <si>
    <t xml:space="preserve">https://www.heb.com/product-detail/stouffer-s-mac-cheese-frozen-meal/29054 https://www.shoprite.com/sm/delivery/rsid/256/product/stouffers-mac-&amp;-cheese-12-oz-id-00013800103406</t>
  </si>
  <si>
    <t xml:space="preserve">zw-007</t>
  </si>
  <si>
    <t xml:space="preserve">Lean Cuisine</t>
  </si>
  <si>
    <t xml:space="preserve">Protein Kick Spaghetti with Meat Sauce</t>
  </si>
  <si>
    <t xml:space="preserve">Lean Cuisine FAQ says plastic trays [S69]; microwave-only directions point to PP.</t>
  </si>
  <si>
    <t xml:space="preserve">None given. Label says ovens vary.</t>
  </si>
  <si>
    <t xml:space="preserve">Uncolored plastic tray, recyclable in communities that accept them (per page). Resin code not stated.</t>
  </si>
  <si>
    <t xml:space="preserve">UPC not shown | leancuisine.com product page failed to load</t>
  </si>
  <si>
    <t xml:space="preserve">https://preview.hannaford.com/groceries/frozen/frozen-dinners-meals/pasta-frozen-meals/lean-cuisine-protein-kick-spaghetti-with-meat-sauce-frozen-meal-115-oz-box.html</t>
  </si>
  <si>
    <t xml:space="preserve">zw-008</t>
  </si>
  <si>
    <t xml:space="preserve">Hungry-Man</t>
  </si>
  <si>
    <t xml:space="preserve">Selects Boneless Fried Chicken and Ham</t>
  </si>
  <si>
    <t xml:space="preserve">658276202941</t>
  </si>
  <si>
    <t xml:space="preserve">Oven directions at 350 F in the same tray.</t>
  </si>
  <si>
    <t xml:space="preserve">350°F, remove dessert film, slit entree film, on baking sheet 40-45 min, stand 2 min.</t>
  </si>
  <si>
    <t xml:space="preserve">Multi-compartment tray with separate film areas over dessert and entree. Material not stated.</t>
  </si>
  <si>
    <t xml:space="preserve">https://smartlabel.labelinsight.com/product/17238176/other/instructions https://smartlabel.labelinsight.com/product/17238176/nutrition</t>
  </si>
  <si>
    <t xml:space="preserve">zw-009</t>
  </si>
  <si>
    <t xml:space="preserve">Power Bowls Spicy Steak Burrito Bowl</t>
  </si>
  <si>
    <t xml:space="preserve">072655006782</t>
  </si>
  <si>
    <t xml:space="preserve">Microwave-only bowl; label forbids oven use.</t>
  </si>
  <si>
    <t xml:space="preserve">DO NOT cook in conventional or toaster ovens (microwave-only product) | Do not use if film seal is broken | Cook only one at a time</t>
  </si>
  <si>
    <t xml:space="preserve">Film-sealed bowl; microwave only (label forbids conventional oven). Material not stated.</t>
  </si>
  <si>
    <t xml:space="preserve">calorie value (180) looks low for a 262 g bowl; verify against package</t>
  </si>
  <si>
    <t xml:space="preserve">https://smartlabel.labelinsight.com/product/14931912/other/instructions https://smartlabel.labelinsight.com/product/14931912/nutrition</t>
  </si>
  <si>
    <t xml:space="preserve">zw-010</t>
  </si>
  <si>
    <t xml:space="preserve">Frontera</t>
  </si>
  <si>
    <t xml:space="preserve">Cheese Enchiladas with Red Enchilada Sauce</t>
  </si>
  <si>
    <t xml:space="preserve">604183000194</t>
  </si>
  <si>
    <t xml:space="preserve">Oven directions in the same tray at 350 F.</t>
  </si>
  <si>
    <t xml:space="preserve">350°F, remove film, cover with foil, on baking sheet 40 min, uncover 5 min, stand 1 min.</t>
  </si>
  <si>
    <t xml:space="preserve">Tray in carton ('Push here to open'). Material not stated.</t>
  </si>
  <si>
    <t xml:space="preserve">https://smartlabel.labelinsight.com/product/17883027/other/instructions https://smartlabel.labelinsight.com/product/17883027/nutrition</t>
  </si>
  <si>
    <t xml:space="preserve">zw-011</t>
  </si>
  <si>
    <t xml:space="preserve">Cafe Steamers BBQ-Seasoned Steak &amp; Potatoes</t>
  </si>
  <si>
    <t xml:space="preserve">Two-part steamer bowl; material not stated.</t>
  </si>
  <si>
    <t xml:space="preserve">Two-compartment steamer bowl: steaming basket over a separate sauce bowl. Material not stated.</t>
  </si>
  <si>
    <t xml:space="preserve">taken from retailer description; wattage, venting and stand time missing | UPC not shown</t>
  </si>
  <si>
    <t xml:space="preserve">https://www.heb.com/product-detail/healthy-choice-caf-steamers-bbq-seasoned-steak-potatoes-frozen-meal/1042876</t>
  </si>
  <si>
    <t xml:space="preserve">zw-012</t>
  </si>
  <si>
    <t xml:space="preserve">Amy's</t>
  </si>
  <si>
    <t xml:space="preserve">Amy's Bowls Mexican Casserole</t>
  </si>
  <si>
    <t xml:space="preserve">Amy's bowls go into the conventional oven; material not stated. Confirm by photo.</t>
  </si>
  <si>
    <t xml:space="preserve">none</t>
  </si>
  <si>
    <t xml:space="preserve">amys.com product page failed to load; Wegmans and H-E-B pages show an empty Instructions section | photograph box for directions and tray info</t>
  </si>
  <si>
    <t xml:space="preserve">https://www.wegmans.com/shop/product/261725-Mexican-Casserole</t>
  </si>
  <si>
    <t xml:space="preserve">zw-013</t>
  </si>
  <si>
    <t xml:space="preserve">Turkey Pot Pie</t>
  </si>
  <si>
    <t xml:space="preserve">021131501143</t>
  </si>
  <si>
    <t xml:space="preserve">Paperboard tray used in a 400 F oven; ovenable board carries a PET coating [S60].</t>
  </si>
  <si>
    <t xml:space="preserve">Microwaves below 1100 W are not recommended; the pie may not cook through. Use the conventional oven instead.</t>
  </si>
  <si>
    <t xml:space="preserve">Not recommended in microwaves under 1100 W | Do not prepare in toaster oven | Cook only one at a time</t>
  </si>
  <si>
    <t xml:space="preserve">400°F, remove from outer carton, keep in paper tray, foil strip around crust edge, on baking sheet 48-52 min, stand 5 min.</t>
  </si>
  <si>
    <t xml:space="preserve">Outer carton plus paper (paperboard) tray; microwave in opened carton, oven in paper tray.</t>
  </si>
  <si>
    <t xml:space="preserve">https://smartlabel.labelinsight.com/product/4662734/other/instructions https://smartlabel.labelinsight.com/product/4662734/nutrition</t>
  </si>
  <si>
    <t xml:space="preserve">zw-014</t>
  </si>
  <si>
    <t xml:space="preserve">Creamy Parmesan Chicken Pot Pie</t>
  </si>
  <si>
    <t xml:space="preserve">021131506964</t>
  </si>
  <si>
    <t xml:space="preserve">Do not microwave in ovens below 1100 W; use the conventional oven instead.</t>
  </si>
  <si>
    <t xml:space="preserve">Do not microwave in ovens under 1100 W | Do not prepare in toaster oven | Cook only one at a time</t>
  </si>
  <si>
    <t xml:space="preserve">400°F, keep in paper tray, foil strip around crust edge, on baking sheet 60-63 min, stand 5 min.</t>
  </si>
  <si>
    <t xml:space="preserve">Outer carton plus paper (paperboard) tray.</t>
  </si>
  <si>
    <t xml:space="preserve">servings per container listed as 'about 2'</t>
  </si>
  <si>
    <t xml:space="preserve">https://smartlabel.labelinsight.com/product/4662724/other/instructions https://smartlabel.labelinsight.com/product/4662724/nutrition</t>
  </si>
  <si>
    <t xml:space="preserve">zw-015</t>
  </si>
  <si>
    <t xml:space="preserve">Kraft</t>
  </si>
  <si>
    <t xml:space="preserve">Easy Mac Original Flavor Mac &amp; Cheese Cups</t>
  </si>
  <si>
    <t xml:space="preserve">cup_bowl</t>
  </si>
  <si>
    <t xml:space="preserve">shelf</t>
  </si>
  <si>
    <t xml:space="preserve">Microwavable plastic cup; check the resin code under the cup.</t>
  </si>
  <si>
    <t xml:space="preserve">Cup and contents get very hot; keep children from burns</t>
  </si>
  <si>
    <t xml:space="preserve">Single-serve microwavable cup with fill line. Material not stated.</t>
  </si>
  <si>
    <t xml:space="preserve">wattage, stand time and power level not shown | UPC not shown | Sold as a 4-cup pack; nutrition is per cup and the app treats one cup as the product.</t>
  </si>
  <si>
    <t xml:space="preserve">https://www.heb.com/product-detail/kraft-easy-mac-original-flavor-mac-and-cheese-cups/1070769</t>
  </si>
  <si>
    <t xml:space="preserve">zw-016</t>
  </si>
  <si>
    <t xml:space="preserve">Maruchan</t>
  </si>
  <si>
    <t xml:space="preserve">Instant Lunch Ramen Noodle Soup, Chicken Flavor</t>
  </si>
  <si>
    <t xml:space="preserve">Label says do not microwave; check whether the cup is foam or paper.</t>
  </si>
  <si>
    <t xml:space="preserve">not_applicable</t>
  </si>
  <si>
    <t xml:space="preserve">yes</t>
  </si>
  <si>
    <t xml:space="preserve">Single-serve cup with peel lid and inside fill line. Material not stated on source pages.</t>
  </si>
  <si>
    <t xml:space="preserve">nutrition not shown on readable pages | good negative example: cup-shaped but labeled do not microwave</t>
  </si>
  <si>
    <t xml:space="preserve">https://www.ubereats.com/store/safeway-2980-e-capitol-expy/5-N2W3K9WEqK_hLD35hwVQ/c3297a1d-4fb9-53f4-a254-36d1fa306f6f/922e7cae-c81f-4bba-82fa-5e9f19cfaffd/eda8ec7f-dc34-5bd1-ab34-0b8aab8f923f https://www.heb.com/product-detail/maruchan-instant-lunch-ramen-noodle-soup-cups-chicken-flavor/133669</t>
  </si>
  <si>
    <t xml:space="preserve">zw-017</t>
  </si>
  <si>
    <t xml:space="preserve">Nissin</t>
  </si>
  <si>
    <t xml:space="preserve">Cup Noodles Chicken Flavor</t>
  </si>
  <si>
    <t xml:space="preserve">Paper cup since 2024.</t>
  </si>
  <si>
    <t xml:space="preserve">Paper cup that replaced the polystyrene cup in 2024 and made the product microwavable in the package.</t>
  </si>
  <si>
    <t xml:space="preserve">2:15 microwave time comes from retailer listing and news report; wattage, fill line and stir/stand steps are on the lid and were not readable online | older polystyrene cups may still be in some stores; check the cup</t>
  </si>
  <si>
    <t xml:space="preserve">https://heb.com/product-detail/nissin-cup-noodles-chicken-flavor-noodle-soup/160083 https://www.orderroombox.com/product/nissin-cup-noodles-chicken-flavor-ramen-noodle-soup-2/ https://www.foxla.com/news/cup-noodles-unveils-game-changing-packaging-update-for-2024</t>
  </si>
  <si>
    <t xml:space="preserve">zw-018</t>
  </si>
  <si>
    <t xml:space="preserve">Campbell's</t>
  </si>
  <si>
    <t xml:space="preserve">Chunky Beef with Country Vegetables Soup, Microwavable Bowl</t>
  </si>
  <si>
    <t xml:space="preserve">51000148787</t>
  </si>
  <si>
    <t xml:space="preserve">Microwave-safe plastic bowl; remove the metal peel lid first.</t>
  </si>
  <si>
    <t xml:space="preserve">Label notes microwave ovens vary and uneven heating may cause popping or splattering.</t>
  </si>
  <si>
    <t xml:space="preserve">Plastic cap may be hot</t>
  </si>
  <si>
    <t xml:space="preserve">Microwave-safe bowl with peel-off cover and plastic cap; eat directly from bowl.</t>
  </si>
  <si>
    <t xml:space="preserve">no reference wattage stated</t>
  </si>
  <si>
    <t xml:space="preserve">https://www.campbellsfoodservice.com/product/beef-with-country-vegetables-soup/</t>
  </si>
  <si>
    <t xml:space="preserve">zw-019</t>
  </si>
  <si>
    <t xml:space="preserve">Chunky Classic Chicken Noodle Soup, Microwavable Bowl</t>
  </si>
  <si>
    <t xml:space="preserve">Microwavable bowl with metal peel lid; remove the lid first.</t>
  </si>
  <si>
    <t xml:space="preserve">Do not reuse or reheat bowl | Metal edges are sharp | Do not buy if open or punctured</t>
  </si>
  <si>
    <t xml:space="preserve">Microwavable bowl; page warns of sharp metal edges (peel-off lid) and says not to reuse or reheat the bowl.</t>
  </si>
  <si>
    <t xml:space="preserve">Instructions section empty on H-E-B page; photograph bowl label</t>
  </si>
  <si>
    <t xml:space="preserve">https://www.heb.com/product-detail/campbell-s-chunky-classic-chicken-noodle-soup/569232</t>
  </si>
  <si>
    <t xml:space="preserve">zw-020</t>
  </si>
  <si>
    <t xml:space="preserve">Hormel</t>
  </si>
  <si>
    <t xml:space="preserve">Compleats Meatloaf &amp; Gravy with Mashed Potatoes</t>
  </si>
  <si>
    <t xml:space="preserve">Shelf-stable film-sealed tray.</t>
  </si>
  <si>
    <t xml:space="preserve">Times approximate because microwaves vary.</t>
  </si>
  <si>
    <t xml:space="preserve">Not for conventional ovens</t>
  </si>
  <si>
    <t xml:space="preserve">Shelf-stable microwavable tray sealed with plastic film. Material not stated.</t>
  </si>
  <si>
    <t xml:space="preserve">no reference wattage | UPC not shown | page header says '9 oz can' but description is a film-sealed tray</t>
  </si>
  <si>
    <t xml:space="preserve">https://preview.hannaford.com/groceries/soups-canned-goods/canned-meat/hormel-compleats-meatloaf-gravy-with-mashed-potatoes-microwavable-9-oz-can.html</t>
  </si>
  <si>
    <t xml:space="preserve">zw-021</t>
  </si>
  <si>
    <t xml:space="preserve">Compleats Beef Tips &amp; Gravy with Mashed Potatoes</t>
  </si>
  <si>
    <t xml:space="preserve">Shelf-stable tray.</t>
  </si>
  <si>
    <t xml:space="preserve">Single tray (serving size listed as 1 tray). Material not stated.</t>
  </si>
  <si>
    <t xml:space="preserve">Instructions section empty; photograph tray label</t>
  </si>
  <si>
    <t xml:space="preserve">https://www.heb.com/product-detail/hormel-compleats-beef-tips-gravy-with-mashed-potatoes/1058929</t>
  </si>
  <si>
    <t xml:space="preserve">zw-022</t>
  </si>
  <si>
    <t xml:space="preserve">Chef Boyardee</t>
  </si>
  <si>
    <t xml:space="preserve">Beefaroni Microwavable Bowl</t>
  </si>
  <si>
    <t xml:space="preserve">Microwavable bowl.</t>
  </si>
  <si>
    <t xml:space="preserve">placeholder: net weight from retailer listing titles only; SmartLabel instructions page returned server errors twice; Ahold retailer sites were in maintenance | photograph bowl label</t>
  </si>
  <si>
    <t xml:space="preserve">https://smartlabel.labelinsight.com/product/13051379/other/claims</t>
  </si>
  <si>
    <t xml:space="preserve">zw-023</t>
  </si>
  <si>
    <t xml:space="preserve">Birds Eye</t>
  </si>
  <si>
    <t xml:space="preserve">Steamfresh Seasoned Asian Medley</t>
  </si>
  <si>
    <t xml:space="preserve">014500021632</t>
  </si>
  <si>
    <t xml:space="preserve">Steam bag.</t>
  </si>
  <si>
    <t xml:space="preserve">Below 800 W, use stovetop directions instead.</t>
  </si>
  <si>
    <t xml:space="preserve">Do not puncture bag | Do not thaw | Cook only one at a time</t>
  </si>
  <si>
    <t xml:space="preserve">Microwave-safe steam bag with built-in vent; bag inflates and may whistle; tear notch and corner tabs.</t>
  </si>
  <si>
    <t xml:space="preserve">nutrition page returned a server error</t>
  </si>
  <si>
    <t xml:space="preserve">https://smartlabel.labelinsight.com/product/6823283/other/instructions</t>
  </si>
  <si>
    <t xml:space="preserve">zw-024</t>
  </si>
  <si>
    <t xml:space="preserve">Steamfresh Power Blend Hawaiian Style</t>
  </si>
  <si>
    <t xml:space="preserve">014500016676</t>
  </si>
  <si>
    <t xml:space="preserve">Do not pierce bag | Do not thaw | Cook only one at a time</t>
  </si>
  <si>
    <t xml:space="preserve">Microwave-safe steam bag with vent; inflates while cooking, may whistle.</t>
  </si>
  <si>
    <t xml:space="preserve">https://smartlabel.labelinsight.com/product/6100979/other/instructions https://smartlabel.labelinsight.com/product/6100979/nutrition</t>
  </si>
  <si>
    <t xml:space="preserve">zw-025</t>
  </si>
  <si>
    <t xml:space="preserve">Steamfresh Power Blend Italian Style</t>
  </si>
  <si>
    <t xml:space="preserve">014500015822</t>
  </si>
  <si>
    <t xml:space="preserve">None given; adjust for appliance.</t>
  </si>
  <si>
    <t xml:space="preserve">Do not pierce bag | Do not thaw | Cook only one bag at a time</t>
  </si>
  <si>
    <t xml:space="preserve">Sealed microwave steam bag with vent; printed 'THIS SIDE UP', 'TEAR HERE', 'PICK UP HERE'.</t>
  </si>
  <si>
    <t xml:space="preserve">same product line as zw-023/024 but uses a single 1100 W reference instead of a wattage table</t>
  </si>
  <si>
    <t xml:space="preserve">https://smartlabel.labelinsight.com/product/13770749/other/instructions https://smartlabel.labelinsight.com/product/13770749/nutrition</t>
  </si>
  <si>
    <t xml:space="preserve">zw-026</t>
  </si>
  <si>
    <t xml:space="preserve">Green Giant</t>
  </si>
  <si>
    <t xml:space="preserve">Riced Veggies Cauliflower &amp; Broccoli</t>
  </si>
  <si>
    <t xml:space="preserve">190569123118</t>
  </si>
  <si>
    <t xml:space="preserve">700 W: 7 min on HIGH.</t>
  </si>
  <si>
    <t xml:space="preserve">Do not thaw</t>
  </si>
  <si>
    <t xml:space="preserve">Microwave-in bag cooked standing upright; vent not mentioned.</t>
  </si>
  <si>
    <t xml:space="preserve">servings per container listed as 'about 3'</t>
  </si>
  <si>
    <t xml:space="preserve">https://smartlabel.labelinsight.com/product/6822702/other/instructions https://smartlabel.labelinsight.com/product/6822702/nutrition</t>
  </si>
  <si>
    <t xml:space="preserve">zw-027</t>
  </si>
  <si>
    <t xml:space="preserve">Riced Veggies Cauliflower Risotto Medley</t>
  </si>
  <si>
    <t xml:space="preserve">190569123286</t>
  </si>
  <si>
    <t xml:space="preserve">nutrition page not fetched (call budget)</t>
  </si>
  <si>
    <t xml:space="preserve">https://smartlabel.labelinsight.com/product/6822696/other/instructions</t>
  </si>
  <si>
    <t xml:space="preserve">zw-028</t>
  </si>
  <si>
    <t xml:space="preserve">Lightly Sauced Broccoli, Carrots, Cauliflower &amp; Cheese Sauce</t>
  </si>
  <si>
    <t xml:space="preserve">020000199641</t>
  </si>
  <si>
    <t xml:space="preserve">Table covers 700 W.</t>
  </si>
  <si>
    <t xml:space="preserve">Do not leave microwave unattended</t>
  </si>
  <si>
    <t xml:space="preserve">Microwave-in bag cooked standing on a plate; tear notch. Vent not mentioned.</t>
  </si>
  <si>
    <t xml:space="preserve">servings per container listed as 'about 2.5' | best example of a 3-level wattage table</t>
  </si>
  <si>
    <t xml:space="preserve">https://smartlabel.labelinsight.com/product/6822674/other/instructions https://smartlabel.labelinsight.com/product/6822674/nutrition</t>
  </si>
  <si>
    <t xml:space="preserve">zw-029</t>
  </si>
  <si>
    <t xml:space="preserve">Ben's Original</t>
  </si>
  <si>
    <t xml:space="preserve">Ready Rice Jasmine</t>
  </si>
  <si>
    <t xml:space="preserve">BPA-free pouch.</t>
  </si>
  <si>
    <t xml:space="preserve">BPA-free microwaveable rice pouch.</t>
  </si>
  <si>
    <t xml:space="preserve">squeeze/tear-vent steps and wattage not shown on US retailer page | UPC not shown</t>
  </si>
  <si>
    <t xml:space="preserve">https://heb.com/product-detail/ben-s-original-ready-rice-jasmine/1250123</t>
  </si>
  <si>
    <t xml:space="preserve">zw-030</t>
  </si>
  <si>
    <t xml:space="preserve">Ready Rice Spanish Style</t>
  </si>
  <si>
    <t xml:space="preserve">BPA-free microwaveable pouch.</t>
  </si>
  <si>
    <t xml:space="preserve">squeeze/tear-vent steps and wattage not shown | UPC not shown</t>
  </si>
  <si>
    <t xml:space="preserve">https://heb.com/product-detail/ben-s-original-ready-rice-spanish-style/592802</t>
  </si>
  <si>
    <t xml:space="preserve">zw-031</t>
  </si>
  <si>
    <t xml:space="preserve">Tyson</t>
  </si>
  <si>
    <t xml:space="preserve">Breaded &amp; Stuffed Chicken Breasts Cordon Bleu, 2 Count (raw)</t>
  </si>
  <si>
    <t xml:space="preserve">oven_only</t>
  </si>
  <si>
    <t xml:space="preserve">Oven only, raw chicken.</t>
  </si>
  <si>
    <t xml:space="preserve">DO NOT MICROWAVE OR AIR FRY | Oven bake only, raw chicken</t>
  </si>
  <si>
    <t xml:space="preserve">375°F, frozen raw breasts on flat metal baking sheet 2 in apart; 31-33 min for 1-2 pieces, 36-39 min for 3-6 pieces; 165°F internal; cool about 3 min.</t>
  </si>
  <si>
    <t xml:space="preserve">Individually wrapped raw breaded pieces in a carton.</t>
  </si>
  <si>
    <t xml:space="preserve">the 14-digit code appears only in a Tyson URL and is not labeled as a UPC; confirm from package</t>
  </si>
  <si>
    <t xml:space="preserve">https://www.tyson.com/products/stuffed-chicken-breasts-cordon-bleu-2-count https://www.tyson.com/products/stuffed-entrees/00023700060273</t>
  </si>
  <si>
    <t xml:space="preserve">zw-032</t>
  </si>
  <si>
    <t xml:space="preserve">DiGiorno</t>
  </si>
  <si>
    <t xml:space="preserve">Original Rising Crust Pepperoni Pizza</t>
  </si>
  <si>
    <t xml:space="preserve">Oven only (pizza).</t>
  </si>
  <si>
    <t xml:space="preserve">400°F, keep frozen while preheating, remove freshness wrap, place directly on center rack, 19 min, stand 5 min.</t>
  </si>
  <si>
    <t xml:space="preserve">Pizza in freshness wrap inside carton. No other packaging detail given.</t>
  </si>
  <si>
    <t xml:space="preserve">page gives oven directions only; no explicit 'do not microwave' wording found online, so do_not_microwave is null (check box) | page body calls it 'Ultimate Pepperoni'; title says 'Original Rising Crust Pepperoni Pizza 24.7oz' | servings listed as 'about 5'</t>
  </si>
  <si>
    <t xml:space="preserve">https://www.goodnes.com/digiorno/products/rising-crust-pepperoni-pizza-24-oz/</t>
  </si>
  <si>
    <t xml:space="preserve">zw-033</t>
  </si>
  <si>
    <t xml:space="preserve">Family Size Chicken Parmesan</t>
  </si>
  <si>
    <t xml:space="preserve">021131034344</t>
  </si>
  <si>
    <t xml:space="preserve">Oven-safe tray, oven step required.</t>
  </si>
  <si>
    <t xml:space="preserve">No microwave-only method; oven finish required | Do not prepare in toaster oven | Cook only one at a time</t>
  </si>
  <si>
    <t xml:space="preserve">375°F, vent film corner, on baking sheet 60-70 min, stand 5 min.</t>
  </si>
  <si>
    <t xml:space="preserve">Family-size film-covered tray; oven-safe per directions. Material not stated.</t>
  </si>
  <si>
    <t xml:space="preserve">oven required: microwave is only the first stage of a microwave-plus-oven method | net weight 38 oz = 2 lb 6 oz (1.07 kg) per label</t>
  </si>
  <si>
    <t xml:space="preserve">https://smartlabel.labelinsight.com/product/18719462/other/instructions https://smartlabel.labelinsight.com/product/18719462/nutrition</t>
  </si>
  <si>
    <t xml:space="preserve">zw-101</t>
  </si>
  <si>
    <t xml:space="preserve">Mega Bowls Chicken Fried Beef Steak</t>
  </si>
  <si>
    <t xml:space="preserve">031000126117</t>
  </si>
  <si>
    <t xml:space="preserve">The same tray goes into a 350-375 F oven, which plastic other than CPET does not survive.</t>
  </si>
  <si>
    <t xml:space="preserve">Do not prepare in toaster oven | Keep frozen. Do not thaw. | Cook only one at a time</t>
  </si>
  <si>
    <t xml:space="preserve">375°F, do not remove film, on baking sheet 50-55 min, stand 2 min.</t>
  </si>
  <si>
    <t xml:space="preserve">Film-covered bowl; same bowl goes in the 375°F oven with film left on. Material not stated on label. Brand-level only: Conagra said c. 2009 that nearly all frozen meal trays for Healthy Choice, Banquet, Kid Cuisine and Marie Callender's used 30 to 40 percent post-consumer recycled plastic (https://progressivegrocer.com/conagra-unveils-new-eco-friendly-frozen-tray-design), described as a dual-ovenable monolayer rPET tray (https://www.foodingredientsfirst.com/news/a-first-in-monolayer-rpet-trays-used-by-conagra-foods-for-its-frozen-entrees-and-meals.html). Not confirmed for this current SKU.</t>
  </si>
  <si>
    <t xml:space="preserve">inferred CPET (oven-safe tray)</t>
  </si>
  <si>
    <t xml:space="preserve">https://smartlabel.labelinsight.com/product/10998562/other/instructions https://smartlabel.labelinsight.com/product/10998562/nutrition</t>
  </si>
  <si>
    <t xml:space="preserve">zw-102</t>
  </si>
  <si>
    <t xml:space="preserve">Mega Bowls Chicken Fajita Bowl</t>
  </si>
  <si>
    <t xml:space="preserve">031000126131</t>
  </si>
  <si>
    <t xml:space="preserve">375°F, do not remove film, on baking sheet 52-55 min, stand 2 min, stir.</t>
  </si>
  <si>
    <t xml:space="preserve">inferred CPET (oven-safe tray) | no microwave stand time listed (oven directions give 2 min)</t>
  </si>
  <si>
    <t xml:space="preserve">https://smartlabel.labelinsight.com/product/9615098/other/instructions https://smartlabel.labelinsight.com/product/9615098/nutrition</t>
  </si>
  <si>
    <t xml:space="preserve">zw-103</t>
  </si>
  <si>
    <t xml:space="preserve">Mega Bowls Chicken Bacon Alfredo</t>
  </si>
  <si>
    <t xml:space="preserve">031000009236</t>
  </si>
  <si>
    <t xml:space="preserve">375°F, do not remove film, on baking sheet 40-45 min, stand 2 min, stir.</t>
  </si>
  <si>
    <t xml:space="preserve">https://smartlabel.labelinsight.com/product/15120999/other/instructions https://smartlabel.labelinsight.com/product/15120999/nutrition</t>
  </si>
  <si>
    <t xml:space="preserve">zw-104</t>
  </si>
  <si>
    <t xml:space="preserve">Classic Dinner Salisbury Steak Meal</t>
  </si>
  <si>
    <t xml:space="preserve">031000007300</t>
  </si>
  <si>
    <t xml:space="preserve">350°F, cut and remove film from dessert, on baking sheet 33-35 min, stand 2 min, stir potatoes.</t>
  </si>
  <si>
    <t xml:space="preserve">Multi-compartment film-covered tray with a dessert compartment; same tray goes in the 350°F oven. Material not stated on label. Brand-level only: Conagra said c. 2009 that nearly all frozen meal trays for Healthy Choice, Banquet, Kid Cuisine and Marie Callender's used 30 to 40 percent post-consumer recycled plastic (https://progressivegrocer.com/conagra-unveils-new-eco-friendly-frozen-tray-design), described as a dual-ovenable monolayer rPET tray (https://www.foodingredientsfirst.com/news/a-first-in-monolayer-rpet-trays-used-by-conagra-foods-for-its-frozen-entrees-and-meals.html). Not confirmed for this current SKU.</t>
  </si>
  <si>
    <t xml:space="preserve">inferred CPET (oven-safe tray) | single cook period with no mid-cook stir; label does not mention venting the entree film</t>
  </si>
  <si>
    <t xml:space="preserve">https://smartlabel.labelinsight.com/product/6361412/other/instructions https://smartlabel.labelinsight.com/product/6361412/nutrition</t>
  </si>
  <si>
    <t xml:space="preserve">zw-105</t>
  </si>
  <si>
    <t xml:space="preserve">Salisbury Steak Meal (8 oz)</t>
  </si>
  <si>
    <t xml:space="preserve">031000007454</t>
  </si>
  <si>
    <t xml:space="preserve">350°F, slit film, on baking sheet 26-28 min, stand 2 min.</t>
  </si>
  <si>
    <t xml:space="preserve">Film-covered compartment tray; same tray goes in the 350°F oven. Material not stated on label. Brand-level only: Conagra said c. 2009 that nearly all frozen meal trays for Healthy Choice, Banquet, Kid Cuisine and Marie Callender's used 30 to 40 percent post-consumer recycled plastic (https://progressivegrocer.com/conagra-unveils-new-eco-friendly-frozen-tray-design), described as a dual-ovenable monolayer rPET tray (https://www.foodingredientsfirst.com/news/a-first-in-monolayer-rpet-trays-used-by-conagra-foods-for-its-frozen-entrees-and-meals.html). Not confirmed for this current SKU.</t>
  </si>
  <si>
    <t xml:space="preserve">inferred CPET (oven-safe tray) | fetch tool returned this page paraphrased, not verbatim; re-check step wording | side dish appears to be macaroni and cheese (from the stir step); full product name not confirmed</t>
  </si>
  <si>
    <t xml:space="preserve">https://smartlabel.labelinsight.com/product/13969372/other/instructions https://smartlabel.labelinsight.com/product/13969372/nutrition</t>
  </si>
  <si>
    <t xml:space="preserve">zw-106</t>
  </si>
  <si>
    <t xml:space="preserve">Power Bowls Buddha Bowl</t>
  </si>
  <si>
    <t xml:space="preserve">072655011120</t>
  </si>
  <si>
    <t xml:space="preserve">Microwave-only tray or bowl; label forbids the conventional oven or gives no oven method.</t>
  </si>
  <si>
    <t xml:space="preserve">Do not cook in conventional or toaster ovens | Do not use if film seal is broken | Keep frozen. Do not thaw. | Cook only one at a time</t>
  </si>
  <si>
    <t xml:space="preserve">Film-sealed bowl. Label says do not cook in conventional or toaster ovens, so this container is microwave-only. Material not stated. Brand-level 2009 statement on Healthy Choice trays (30 to 40 percent PCR plastic): https://progressivegrocer.com/conagra-unveils-new-eco-friendly-frozen-tray-design (older tray formats; not confirmed for this SKU).</t>
  </si>
  <si>
    <t xml:space="preserve">https://smartlabel.labelinsight.com/product/11502888/other/instructions https://smartlabel.labelinsight.com/product/11502888/nutrition</t>
  </si>
  <si>
    <t xml:space="preserve">zw-107</t>
  </si>
  <si>
    <t xml:space="preserve">Simply Steamers Grilled Chicken Pesto &amp; Vegetables</t>
  </si>
  <si>
    <t xml:space="preserve">072655001275</t>
  </si>
  <si>
    <t xml:space="preserve">Two-part steamer: steamed food sits above a separate sauce bowl and is stirred into it after cooking. Label says do not cook in conventional or toaster ovens, so this container is microwave-only. Material not stated. Brand-level 2009 statement on Healthy Choice trays (30 to 40 percent PCR plastic): https://progressivegrocer.com/conagra-unveils-new-eco-friendly-frozen-tray-design (older tray formats; not confirmed for this SKU).</t>
  </si>
  <si>
    <t xml:space="preserve">no stand time listed</t>
  </si>
  <si>
    <t xml:space="preserve">https://smartlabel.labelinsight.com/product/6453644/other/instructions https://smartlabel.labelinsight.com/product/6453644/nutrition</t>
  </si>
  <si>
    <t xml:space="preserve">zw-108</t>
  </si>
  <si>
    <t xml:space="preserve">Simply Steamers Chicken &amp; Vegetable Stir Fry, 3 Pack</t>
  </si>
  <si>
    <t xml:space="preserve">072655000780</t>
  </si>
  <si>
    <t xml:space="preserve">Two-part steamer (steamed food over a sauce bowl), 3 per carton. Label says do not cook in conventional or toaster ovens, so this container is microwave-only. Material not stated. Brand-level 2009 statement on Healthy Choice trays (30 to 40 percent PCR plastic): https://progressivegrocer.com/conagra-unveils-new-eco-friendly-frozen-tray-design (older tray formats; not confirmed for this SKU).</t>
  </si>
  <si>
    <t xml:space="preserve">multipack: net weight is for 3 meals of 9.25 oz each; directions are per meal | no stand time listed | UPC is for the 3-pack; single-meal UPC not collected | 3-pack; the label time is for one meal (262 g).</t>
  </si>
  <si>
    <t xml:space="preserve">https://smartlabel.labelinsight.com/product/4580876/other/instructions https://smartlabel.labelinsight.com/product/4580876/nutrition</t>
  </si>
  <si>
    <t xml:space="preserve">zw-109</t>
  </si>
  <si>
    <t xml:space="preserve">Cafe Steamers General Tso's Spicy Chicken, 3 Pack</t>
  </si>
  <si>
    <t xml:space="preserve">072655001909</t>
  </si>
  <si>
    <t xml:space="preserve">multipack: net weight is for 3 meals; per-meal weight not printed in fetched text (serving 292 g) | no stand time listed | UPC is for the 3-pack; single-meal UPC not collected | 3-pack; the label time is for one meal (292 g).</t>
  </si>
  <si>
    <t xml:space="preserve">https://smartlabel.labelinsight.com/product/6497763/other/instructions https://smartlabel.labelinsight.com/product/6497763/nutrition</t>
  </si>
  <si>
    <t xml:space="preserve">zw-110</t>
  </si>
  <si>
    <t xml:space="preserve">Cheesy Bacon Chicken Dinner</t>
  </si>
  <si>
    <t xml:space="preserve">021131009991</t>
  </si>
  <si>
    <t xml:space="preserve">350°F, slit film, on baking sheet 40-45 min, stand 2 min.</t>
  </si>
  <si>
    <t xml:space="preserve">Film-covered dinner tray; same tray goes in the 350°F oven. Material not stated on label. Brand-level only: Conagra said c. 2009 that nearly all frozen meal trays for Healthy Choice, Banquet, Kid Cuisine and Marie Callender's used 30 to 40 percent post-consumer recycled plastic (https://progressivegrocer.com/conagra-unveils-new-eco-friendly-frozen-tray-design), described as a dual-ovenable monolayer rPET tray (https://www.foodingredientsfirst.com/news/a-first-in-monolayer-rpet-trays-used-by-conagra-foods-for-its-frozen-entrees-and-meals.html). Not confirmed for this current SKU.</t>
  </si>
  <si>
    <t xml:space="preserve">inferred CPET (oven-safe tray) | nutrition page returned a server error on two attempts | unusual step: rotate the chicken (not the tray) half a turn</t>
  </si>
  <si>
    <t xml:space="preserve">https://smartlabel.labelinsight.com/product/12573547/other/instructions https://smartlabel.labelinsight.com/product/12573547/nutrition</t>
  </si>
  <si>
    <t xml:space="preserve">zw-111</t>
  </si>
  <si>
    <t xml:space="preserve">Country Fried Chicken &amp; Gravy Dinner</t>
  </si>
  <si>
    <t xml:space="preserve">021131905330</t>
  </si>
  <si>
    <t xml:space="preserve">350°F, cut film to vent, on baking sheet 40-45 min, stand 2 min, stir potatoes and corn.</t>
  </si>
  <si>
    <t xml:space="preserve">inferred CPET (oven-safe tray) | nutrition page returned a server error on two attempts</t>
  </si>
  <si>
    <t xml:space="preserve">https://smartlabel.labelinsight.com/product/12155417/other/instructions https://smartlabel.labelinsight.com/product/12155417/nutrition</t>
  </si>
  <si>
    <t xml:space="preserve">zw-112</t>
  </si>
  <si>
    <t xml:space="preserve">Kansas City Style Pulled Pork Mac &amp; Cheese Bowl</t>
  </si>
  <si>
    <t xml:space="preserve">021131000219</t>
  </si>
  <si>
    <t xml:space="preserve">375°F, do not remove film, on baking sheet 45-50 min, stand 2 min.</t>
  </si>
  <si>
    <t xml:space="preserve">https://smartlabel.labelinsight.com/product/18110872/other/instructions https://smartlabel.labelinsight.com/product/18110872/nutrition</t>
  </si>
  <si>
    <t xml:space="preserve">zw-113</t>
  </si>
  <si>
    <t xml:space="preserve">Creamy Chicken &amp; Dumplings Bowl</t>
  </si>
  <si>
    <t xml:space="preserve">021131500856</t>
  </si>
  <si>
    <t xml:space="preserve">375°F, do not remove film, on baking sheet 50-55 min, stand 2 min, stir.</t>
  </si>
  <si>
    <t xml:space="preserve">https://smartlabel.labelinsight.com/product/17457319/other/instructions https://smartlabel.labelinsight.com/product/17457319/nutrition</t>
  </si>
  <si>
    <t xml:space="preserve">zw-114</t>
  </si>
  <si>
    <t xml:space="preserve">Country Fried Chicken Dinner</t>
  </si>
  <si>
    <t xml:space="preserve">051000118608</t>
  </si>
  <si>
    <t xml:space="preserve">350°F, remove dessert film, slit film over chicken, on baking sheet 40-45 min, stand 2 min, stir potatoes.</t>
  </si>
  <si>
    <t xml:space="preserve">Film-covered compartment tray with a dessert compartment; same tray goes in the 350°F oven. Material not stated on label. Hungry-Man came to Conagra with Pinnacle Foods (2018), so the 2009 Conagra tray statements do not cover it.</t>
  </si>
  <si>
    <t xml:space="preserve">inferred CPET (oven-safe tray) | fetch tool returned the steps paraphrased, not verbatim; re-check wording | UPC prefix 051000 differs from the other Hungry-Man item (658276); recorded as shown</t>
  </si>
  <si>
    <t xml:space="preserve">https://smartlabel.labelinsight.com/product/6319477/other/instructions https://smartlabel.labelinsight.com/product/6319477/nutrition</t>
  </si>
  <si>
    <t xml:space="preserve">zw-115</t>
  </si>
  <si>
    <t xml:space="preserve">Combos Meatloaf &amp; BBQ Sauced Chicken</t>
  </si>
  <si>
    <t xml:space="preserve">658276202484</t>
  </si>
  <si>
    <t xml:space="preserve">350°F, slit film, on baking sheet 43-46 min, stand 2 min.</t>
  </si>
  <si>
    <t xml:space="preserve">Film-covered compartment tray; same tray goes in the 350°F oven. Material not stated on label. Hungry-Man came to Conagra with Pinnacle Foods (2018), so the 2009 Conagra tray statements do not cover it.</t>
  </si>
  <si>
    <t xml:space="preserve">https://smartlabel.labelinsight.com/product/17450027/other/instructions https://smartlabel.labelinsight.com/product/17450027/nutrition</t>
  </si>
  <si>
    <t xml:space="preserve">zw-116</t>
  </si>
  <si>
    <t xml:space="preserve">P.F. Chang's</t>
  </si>
  <si>
    <t xml:space="preserve">Whole Grain Brown Rice (frozen microwave pouches)</t>
  </si>
  <si>
    <t xml:space="preserve">031000700065</t>
  </si>
  <si>
    <t xml:space="preserve">Self-venting frozen microwave rice bag.</t>
  </si>
  <si>
    <t xml:space="preserve">Do not puncture (bag self-vents) | Keep frozen. Do not thaw. | Cook only one at a time</t>
  </si>
  <si>
    <t xml:space="preserve">Self-venting microwave pouch; carton appears to hold 2 pouches. Material not stated.</t>
  </si>
  <si>
    <t xml:space="preserve">carton likely holds 2 pouches (serving = 1 microwaveable bag, 227 g, 2 servings); check package | 'Home Menu' line name not shown on the SmartLabel page | stovetop directions on label: 2 tbsp water in saucepan, covered on medium 6-7 min, stand 1 min. | 2 pouches; the label time is for one pouch (227 g).</t>
  </si>
  <si>
    <t xml:space="preserve">https://smartlabel.labelinsight.com/product/5005127/other/instructions https://smartlabel.labelinsight.com/product/5005127/nutrition</t>
  </si>
  <si>
    <t xml:space="preserve">zw-117</t>
  </si>
  <si>
    <t xml:space="preserve">Signature Fried Rice (frozen steam bag)</t>
  </si>
  <si>
    <t xml:space="preserve">031000198763</t>
  </si>
  <si>
    <t xml:space="preserve">Microwave steam bag or pouch.</t>
  </si>
  <si>
    <t xml:space="preserve">Do not puncture (bag self-vents) | Cook only one bag at a time | Keep frozen. Do not thaw.</t>
  </si>
  <si>
    <t xml:space="preserve">Self-venting microwave bag printed 'This Side Up, Lay Flat When Microwaving', 'Tear Here', 'Pick Up Here'. Material not stated.</t>
  </si>
  <si>
    <t xml:space="preserve">servings per container listed as 'about 2.5' | stovetop directions on label: nonstick skillet, 2 tsp oil, 5-8 min stirring.</t>
  </si>
  <si>
    <t xml:space="preserve">https://smartlabel.labelinsight.com/product/18164632/other/instructions https://smartlabel.labelinsight.com/product/18164632/nutrition</t>
  </si>
  <si>
    <t xml:space="preserve">zw-118</t>
  </si>
  <si>
    <t xml:space="preserve">Chicken Fried Rice skillet meal (22 oz)</t>
  </si>
  <si>
    <t xml:space="preserve">031000700003</t>
  </si>
  <si>
    <t xml:space="preserve">Skillet meal: contents go into a pan.</t>
  </si>
  <si>
    <t xml:space="preserve">Cook only one bag at a time | Keep frozen. Do not thaw.</t>
  </si>
  <si>
    <t xml:space="preserve">Skillet-meal bag (contents are emptied into a pan). Material not stated.</t>
  </si>
  <si>
    <t xml:space="preserve">stovetop-only product: label gives no microwave directions but also no explicit 'do not microwave', so do_not_microwave is null | category oven_only used for 'no microwave method'; schema has no stovetop category | servings per container listed as 'about 3' | 'Home Menu' line name not shown on the SmartLabel page | stovetop directions on label: hot nonstick skillet, 1 tbsp oil, covered 4 min, then uncovered 4-6 min stirring, to 165°F.</t>
  </si>
  <si>
    <t xml:space="preserve">https://smartlabel.labelinsight.com/product/18466359/other/instructions https://smartlabel.labelinsight.com/product/18466359/nutrition</t>
  </si>
  <si>
    <t xml:space="preserve">zw-119</t>
  </si>
  <si>
    <t xml:space="preserve">Steamfresh Power Blend California Style</t>
  </si>
  <si>
    <t xml:space="preserve">014500015792</t>
  </si>
  <si>
    <t xml:space="preserve">Do not pierce bag | Cook only one bag at a time | Keep frozen. Do not thaw.</t>
  </si>
  <si>
    <t xml:space="preserve">Steam bag cooked flat 'this side up'; inflates and vents steam (may whistle); lift by marked corners, tear at notch. Material not stated.</t>
  </si>
  <si>
    <t xml:space="preserve">fetch tool returned the steps paraphrased, not verbatim; re-check wording | stovetop directions on label: 2-qt nonstick saucepan, 1/4 cup water, covered on medium 8-12 min, stand 1-2 min.</t>
  </si>
  <si>
    <t xml:space="preserve">https://smartlabel.labelinsight.com/product/10671730/other/instructions https://smartlabel.labelinsight.com/product/10671730/nutrition</t>
  </si>
  <si>
    <t xml:space="preserve">zw-120</t>
  </si>
  <si>
    <t xml:space="preserve">Steamfresh Power Blend Southwest Style, 4 Pack</t>
  </si>
  <si>
    <t xml:space="preserve">014500016898</t>
  </si>
  <si>
    <t xml:space="preserve">Steam bag cooked flat 'this side up'; inflates and vents steam (may whistle); lift by marked corners, tear at notch. Material not stated. 4 bags per carton.</t>
  </si>
  <si>
    <t xml:space="preserve">multipack: 4 bags of 12.7 oz (360 g); directions are per bag | label gives 1.44 kg; stored as 1440 g | stovetop directions on label: 2-qt nonstick saucepan, 2 tbsp water, covered on medium 9-14 min, stand 1-2 min. | 4-pack; the label time is for one bag (360 g, one serving).</t>
  </si>
  <si>
    <t xml:space="preserve">https://smartlabel.labelinsight.com/product/6362189/other/instructions https://smartlabel.labelinsight.com/product/6362189/nutrition</t>
  </si>
  <si>
    <t xml:space="preserve">zw-121</t>
  </si>
  <si>
    <t xml:space="preserve">Steamfresh Broccoli, Cauliflower &amp; Carrots, 4 Pack</t>
  </si>
  <si>
    <t xml:space="preserve">014500015662</t>
  </si>
  <si>
    <t xml:space="preserve">Below 800 W the label says to use stovetop directions.</t>
  </si>
  <si>
    <t xml:space="preserve">Do not pierce bag | Microwave only one bag at a time | Keep frozen. Do not thaw.</t>
  </si>
  <si>
    <t xml:space="preserve">multipack: 4 bags of 12 oz (340 g); directions are per bag | label gives 1.36 kg; stored as 1360 g | servings per container listed as 'about 16' | stovetop stand time text is garbled on SmartLabel | fetch tool returned the steps paraphrased, not verbatim; re-check wording | same product line as zw-119/120 but uses a wattage table instead of a single 1100 W reference | stovetop directions on label: 2-qt nonstick saucepan, 1/2 cup water, covered on medium 7-8 min, drain. | 4-pack (48 oz, 16 servings); the label time is for one bag, taken as 12 oz and 4 servings.</t>
  </si>
  <si>
    <t xml:space="preserve">https://smartlabel.labelinsight.com/product/6190170/other/instructions https://smartlabel.labelinsight.com/product/6190170/nutrition</t>
  </si>
  <si>
    <t xml:space="preserve">zw-122</t>
  </si>
  <si>
    <t xml:space="preserve">Orville Redenbacher's</t>
  </si>
  <si>
    <t xml:space="preserve">Microwave Popcorn Sea Salt Made With 100% Avocado Oil, 12 Mini Bags</t>
  </si>
  <si>
    <t xml:space="preserve">027000072875</t>
  </si>
  <si>
    <t xml:space="preserve">Microwave popcorn bag.</t>
  </si>
  <si>
    <t xml:space="preserve">No wattage stated. Label gives a time range on HIGH and says to stop when popping slows.</t>
  </si>
  <si>
    <t xml:space="preserve">Do not use popcorn button | Children should not prepare without adult supervision</t>
  </si>
  <si>
    <t xml:space="preserve">Microwave popcorn bag. Bag paper and grease-resistant coating are not stated on the label, and no Orville Redenbacher's packaging or PFAS statement was found. 12 bags of 1.2 oz (34 g).</t>
  </si>
  <si>
    <t xml:space="preserve">label states no wattage; popcorn directions rely on listening for popping to slow, so 'partial' follows the schema rule rather than missing data | fetch tool returned the steps paraphrased, not verbatim; re-check wording</t>
  </si>
  <si>
    <t xml:space="preserve">https://smartlabel.labelinsight.com/product/11000646/other/instructions https://smartlabel.labelinsight.com/product/11000646/nutrition</t>
  </si>
  <si>
    <t xml:space="preserve">zw-123</t>
  </si>
  <si>
    <t xml:space="preserve">Microwave Popcorn Pour Over Movie Theater Butter, 2 Bags &amp; Pouches</t>
  </si>
  <si>
    <t xml:space="preserve">027000485392</t>
  </si>
  <si>
    <t xml:space="preserve">Microwave popcorn bag. Bag paper and grease-resistant coating are not stated on the label, and no Orville Redenbacher's packaging or PFAS statement was found. 2 bags of 107.3 g plus 2 separate topping pouches of 33.1 g (topping is not in the bag).</t>
  </si>
  <si>
    <t xml:space="preserve">label states no wattage; popcorn directions rely on listening for popping to slow, so 'partial' follows the schema rule rather than missing data | servings listed as 'about 8' (about 4 per bag) | 14 g fat per 33 g serving recorded as found; check whether the figure includes the topping</t>
  </si>
  <si>
    <t xml:space="preserve">https://smartlabel.labelinsight.com/product/10779734/other/instructions https://smartlabel.labelinsight.com/product/10779734/nutrition</t>
  </si>
  <si>
    <t xml:space="preserve">zw-124</t>
  </si>
  <si>
    <t xml:space="preserve">Microwave Popcorn Butter &amp; Sea Salt, 10 Mini Bags</t>
  </si>
  <si>
    <t xml:space="preserve">027000623244</t>
  </si>
  <si>
    <t xml:space="preserve">Microwave popcorn bag. Bag paper and grease-resistant coating are not stated on the label, and no Orville Redenbacher's packaging or PFAS statement was found. 10 bags of 1.5 oz (42.5 g).</t>
  </si>
  <si>
    <t xml:space="preserve">label states no wattage; popcorn directions rely on listening for popping to slow, so 'partial' follows the schema rule rather than missing data</t>
  </si>
  <si>
    <t xml:space="preserve">https://smartlabel.labelinsight.com/product/10901633/other/instructions https://smartlabel.labelinsight.com/product/10901633/nutrition</t>
  </si>
  <si>
    <t xml:space="preserve">zw-125</t>
  </si>
  <si>
    <t xml:space="preserve">Act II</t>
  </si>
  <si>
    <t xml:space="preserve">Light Butter Microwave Popcorn (foodservice case, 4 boxes x 18 packs)</t>
  </si>
  <si>
    <t xml:space="preserve">Microwave popcorn bag. Conagra wrote in a 10 Feb 2023 email quoted by IPEN that it removed PFAS in 2022 from the packaging used for Act II microwave popcorn in the U.S. (https://ipen.org/wp-content/uploads/2023/03/2023_03_r_en_pfas_popcorn_web.pdf). The replacement grease barrier is not described.</t>
  </si>
  <si>
    <t xml:space="preserve">label states no wattage; popcorn directions rely on listening for popping to slow, so 'partial' follows the schema rule rather than missing data | source is a Conagra Foodservice listing, not a retail label transcription; Act II was not found on SmartLabel | UPC not shown; page gives foodservice SKU 7615023244, which is not a UPC | per-bag size read as '2.75 OZ' from a garbled field ('Net Weight 12.38' with no unit also shown); grams not given | servings per bag not listed</t>
  </si>
  <si>
    <t xml:space="preserve">https://www.conagrafoodservice.com/products/act-ii-light-butter-popcorn-4-boxes-18-packs https://ipen.org/wp-content/uploads/2023/03/2023_03_r_en_pfas_popcorn_web.pdf</t>
  </si>
  <si>
    <t xml:space="preserve">zw-126</t>
  </si>
  <si>
    <t xml:space="preserve">Seasoned Backyard Grilled Potatoes (roasted potatoes, peppers and onions)</t>
  </si>
  <si>
    <t xml:space="preserve">020000449975</t>
  </si>
  <si>
    <t xml:space="preserve">Microwave-in bag cooked standing on a plate; tear notch. Vent not mentioned. Material not stated.</t>
  </si>
  <si>
    <t xml:space="preserve">servings per container listed as 'about 2.5' (second column is 1/2 cup prepared)</t>
  </si>
  <si>
    <t xml:space="preserve">https://smartlabel.labelinsight.com/product/6822662/other/instructions https://smartlabel.labelinsight.com/product/6822662/nutrition</t>
  </si>
  <si>
    <t xml:space="preserve">zw-127</t>
  </si>
  <si>
    <t xml:space="preserve">Garlic Parmesan Crispy Smashed Potatoes</t>
  </si>
  <si>
    <t xml:space="preserve">190569679790</t>
  </si>
  <si>
    <t xml:space="preserve">Oven only, baked on the user's own sheet.</t>
  </si>
  <si>
    <t xml:space="preserve">Microwave oven not recommended</t>
  </si>
  <si>
    <t xml:space="preserve">425°F, oiled baking sheet, single layer, bottom rack 18-20 min.</t>
  </si>
  <si>
    <t xml:space="preserve">Box; potatoes are baked on the consumer's own baking sheet. Material not stated.</t>
  </si>
  <si>
    <t xml:space="preserve">label wording is 'Microwave oven not recommended' rather than 'do not microwave' | oven directions sit under a SmartLabel heading named 'Microwave Manual Claim' | servings per container listed as 'about 4'</t>
  </si>
  <si>
    <t xml:space="preserve">https://smartlabel.labelinsight.com/product/19949172/other/instructions https://smartlabel.labelinsight.com/product/19949172/nutrition</t>
  </si>
  <si>
    <t xml:space="preserve">zw-201</t>
  </si>
  <si>
    <t xml:space="preserve">Hot Pockets</t>
  </si>
  <si>
    <t xml:space="preserve">Pepperoni Pizza Sandwiches, 2 count (sleeve-era package)</t>
  </si>
  <si>
    <t xml:space="preserve">Older pack with crisping sleeve (sleeves removed in 2024).</t>
  </si>
  <si>
    <t xml:space="preserve">Lower wattage/compact microwave: 2 min 50 s for 1 sandwich; cook 2 sandwiches one at a time.</t>
  </si>
  <si>
    <t xml:space="preserve">Do not use crisping sleeve in air fryer | Oven: place on baking sheet without the crisping sleeve | Cook to internal temperature of 165°F | Keep frozen</t>
  </si>
  <si>
    <t xml:space="preserve">Oven 350°F, unwrapped on baking sheet without sleeve, 26 min. Air fryer 360°F, 15 min in directions (16 min in description).</t>
  </si>
  <si>
    <t xml:space="preserve">Individually wrapped sandwiches in a carton with a microwave crisping sleeve. Packaging Dive describes the Hot Pockets sleeves as microwave susceptor crisping sleeves. Brand FAQ says the sleeve is single use. Sleeve material not stated on the label text found.</t>
  </si>
  <si>
    <t xml:space="preserve">Legacy package: Nestlé removed the crisping sleeve from Hot Pockets packaging (announced Sept 30, 2024) and replaced 2-packs with 4-packs during 2025, so this label likely matches only old stock. See zw-203 for the current sleeveless pepperoni box. | Source is a third-party delivery listing (Uber Eats, Safeway Flash) that says its information may not be current | Calories and serving size not shown on the listing; goodnes.com lists 330 kcal per 127 g sandwich for the current pepperoni product, not merged here | Air fryer time inconsistent on listing (15 vs 16 min) | UPC not shown | 2-pack (9 oz); the label time is for one sandwich.</t>
  </si>
  <si>
    <t xml:space="preserve">https://www.ubereats.com/store/safeway-flash-225-brierhill-dr/u7Xdbrc1WzWBNHf2mgyltg/8bb157fb-7d37-5119-991d-88aa698ea51d/30db39c9-9a04-5985-b67a-179a84674fb8/f84bae16-f08d-5214-bee1-91be23d83aa9 https://www.goodnes.com/hot-pockets/faq https://www.packagingdive.com/news/packaging-innovations-hot-pockets-overtone-henkel/728876/</t>
  </si>
  <si>
    <t xml:space="preserve">zw-202</t>
  </si>
  <si>
    <t xml:space="preserve">Hickory Ham &amp; Cheddar Crispy Buttery Crust Sandwiches, 2 count (sleeve-era package)</t>
  </si>
  <si>
    <t xml:space="preserve">Lower wattage/compact microwave: 2 min 50 s for 1 sandwich. For best results cook one at a time.</t>
  </si>
  <si>
    <t xml:space="preserve">Do not use crisping sleeve in oven | Cook to internal temperature of 165°F | Keep frozen</t>
  </si>
  <si>
    <t xml:space="preserve">Oven 350°F, unwrapped on baking sheet without sleeve, 26 min. Air fryer 360°F, 16 min.</t>
  </si>
  <si>
    <t xml:space="preserve">Individually wrapped sandwiches in a carton with a microwave crisping sleeve (susceptor sleeve per Packaging Dive). Sleeve is single use per brand FAQ. Material not stated.</t>
  </si>
  <si>
    <t xml:space="preserve">Legacy package: sleeve removed from Hot Pockets packaging in the 2024 redesign; 2-packs replaced by 4-packs in 2025. Current Hannaford listing for the 4-ct croissant-crust ham &amp; cheddar uses a microwave-safe plate with no sleeve. | Reference wattage not printed on the two listings (CVS listing says 'full-wattage ovens'; the current Hot Pockets range uses 1100 W) | Calories and serving size not shown; total fat 10 g from CVS listing | Third-party delivery listings (Uber Eats Walgreens/CVS) may not be current | UPC not shown</t>
  </si>
  <si>
    <t xml:space="preserve">https://www.ubereats.com/store/walgreens-12407-grant-rd/c9_So-KORGOLsyZb6DFGKA/7f00a5db-35cb-5775-986f-cfd4d85a6310/7d7bff25-1880-4ae9-a9c1-83e7bfefca55/c4a39b83-b805-5ae9-9b39-d2361c6caa1a https://www.ubereats.com/store/cvs/rn4GRmLHWvCLWi_7CDHUYg/3d9e84e1-e36e-5c90-a0b7-71703dac0e0c/7d7bff25-1880-4ae9-a9c1-83e7bfefca55/61b1219f-c230-5c60-8f88-0978bc3bb467 https://www.goodnes.com/hot-pockets/faq https://www.packagingdive.com/news/packaging-innovations-hot-pockets-overtone-henkel/728876/</t>
  </si>
  <si>
    <t xml:space="preserve">zw-203</t>
  </si>
  <si>
    <t xml:space="preserve">Pepperoni Pizza Sandwiches (Italian Style Seasoned Crust), 4 Pack, current sleeveless package</t>
  </si>
  <si>
    <t xml:space="preserve">00043695206203</t>
  </si>
  <si>
    <t xml:space="preserve">Label says to heat on a microwave-safe plate.</t>
  </si>
  <si>
    <t xml:space="preserve">Lower wattage/compact microwave: 2 min 50 s for 1 sandwich; cook 2 one at a time.</t>
  </si>
  <si>
    <t xml:space="preserve">Cook to internal temperature of 165°F | Product will be hot; let cool | Keep frozen</t>
  </si>
  <si>
    <t xml:space="preserve">Air fryer 360°F, 14 min (1 sandwich, or 2 placed separately). No conventional oven directions on the goodnes.com page.</t>
  </si>
  <si>
    <t xml:space="preserve">Carton of individually wrapped sandwiches, no crisping sleeve. Material not stated.</t>
  </si>
  <si>
    <t xml:space="preserve">Category 'plate' is a proposed new value (see notes); listed under Hot Pockets for contrast with sleeve-era zw-201 | goodnes.com 8-pack and 1-pack pages give the same times | 4-pack; the label time is for one sandwich (127 g).</t>
  </si>
  <si>
    <t xml:space="preserve">https://www.goodnes.com/hot-pockets/products/frozen-sandwich-pepperoni-pizza/ https://www.goodnes.com/hot-pockets/products/pepperoni-pizza-italian-seasoned-crust https://www.acmestores.com/product/00043695071115/hot-pockets-sandwiches-premium-garlic-buttery https://www.packagingdive.com/news/packaging-innovations-hot-pockets-overtone-henkel/728876/</t>
  </si>
  <si>
    <t xml:space="preserve">zw-204</t>
  </si>
  <si>
    <t xml:space="preserve">Chicken Fettuccini</t>
  </si>
  <si>
    <t xml:space="preserve">Not on product page. Lean Cuisine FAQ: times are based on 1100 W; lower-wattage ovens may need more time, watch for bubbling over and check 165°F.</t>
  </si>
  <si>
    <t xml:space="preserve">Do not prepare in conventional or toaster ovens | Do not reheat tray</t>
  </si>
  <si>
    <t xml:space="preserve">Film-covered plastic tray in paperboard carton. Lean Cuisine FAQ: plastic trays recyclable only where local programs accept them, paperboard carton recyclable, trays not designed for reuse.</t>
  </si>
  <si>
    <t xml:space="preserve">Reference wattage taken from the Lean Cuisine FAQ ('All of our entrees ... based on ... an 1100-watt microwave oven'); the product page shows no wattage | Page says both 'Do not reheat tray' and 'Do not reheat bowl' | UPC not shown</t>
  </si>
  <si>
    <t xml:space="preserve">https://www.goodnes.com/lean-cuisine/products/chicken-fettuccine https://www.goodnes.com/lean-cuisine/faq</t>
  </si>
  <si>
    <t xml:space="preserve">zw-205</t>
  </si>
  <si>
    <t xml:space="preserve">Sesame Chicken (listed as Signature; Hannaford URL says Protein Kick)</t>
  </si>
  <si>
    <t xml:space="preserve">None on page. Lean Cuisine FAQ: lower-wattage ovens may need more time.</t>
  </si>
  <si>
    <t xml:space="preserve">Microwave oven only | Do not prepare in conventional or toaster ovens | Do not reheat tray | Keep frozen</t>
  </si>
  <si>
    <t xml:space="preserve">Film-covered tray; film is removed for the second heating step. Material not stated on page.</t>
  </si>
  <si>
    <t xml:space="preserve">Page prints 'Microwave Oven Only: 110 watts', read as a typo for 1100 W because the Lean Cuisine FAQ states all entrée times are based on 1100 W | Product line name differs between page title (Signature) and URL (Protein Kick); photograph the box | UPC not shown</t>
  </si>
  <si>
    <t xml:space="preserve">https://www.hannaford.com/groceries/product/lean-cuisine-protein-kick-sesame-chicken-frozen-meal-9-oz-box/129833 https://www.goodnes.com/lean-cuisine/faq</t>
  </si>
  <si>
    <t xml:space="preserve">zw-206</t>
  </si>
  <si>
    <t xml:space="preserve">Lasagna with Meat &amp; Sauce (single serve, For One)</t>
  </si>
  <si>
    <t xml:space="preserve">Stouffer's single-serve trays are paper [S68]; this one goes into the oven, so it is taken as PET-coated board.</t>
  </si>
  <si>
    <t xml:space="preserve">None given. Page says ovens vary and time may need adjusting.</t>
  </si>
  <si>
    <t xml:space="preserve">Do not vent film before first cook | Do not prepare in toaster oven | Do not reheat tray | Keep frozen</t>
  </si>
  <si>
    <t xml:space="preserve">375°F, film on and not vented, tray on baking sheet center rack, 40 min, stand 1 min.</t>
  </si>
  <si>
    <t xml:space="preserve">Film-covered tray that is also used in the conventional oven. Stouffer's FAQ: single-serve trays moved from plastic to paper (pressed paper trays in select single-serve meals not yet recyclable); plastic trays contain 25% recycled plastic. Which tray this item uses is not stated.</t>
  </si>
  <si>
    <t xml:space="preserve">Two-power-level directions (HIGH then 50%) are a useful case for the app's power-level logic | Kroger-family item code comes from search-result URLs for 'Classic Lasagna with Meat and Sauce' (not fetched); UPC not shown | goodnes.com page's canonical tag points to the Family Size product</t>
  </si>
  <si>
    <t xml:space="preserve">https://www.goodnes.com/stouffers/products/lasagna-with-meat-sauce-for-one/ https://www.goodnes.com/stouffers/faq</t>
  </si>
  <si>
    <t xml:space="preserve">zw-207</t>
  </si>
  <si>
    <t xml:space="preserve">French Bread Deluxe Pizza, 2 count</t>
  </si>
  <si>
    <t xml:space="preserve">Oven or air fryer finish.</t>
  </si>
  <si>
    <t xml:space="preserve">Keep frozen</t>
  </si>
  <si>
    <t xml:space="preserve">Oven only: 400°F, baking sheet center rack, 24 min, stand 1 min.</t>
  </si>
  <si>
    <t xml:space="preserve">Paperboard box ('Push in. Pull out.') with pizzas in a wrap; no crisping tray or sleeve mentioned. Material not stated.</t>
  </si>
  <si>
    <t xml:space="preserve">Microwave step alone does not finish cooking; the app should say an oven or air fryer is required | Toaster oven not addressed | UPC not shown</t>
  </si>
  <si>
    <t xml:space="preserve">https://www.hannaford.com/groceries/product/stouffers-french-bread-deluxe-pizza-2-ct-frozen-12-75-oz-box/720</t>
  </si>
  <si>
    <t xml:space="preserve">zw-208</t>
  </si>
  <si>
    <t xml:space="preserve">Velveeta</t>
  </si>
  <si>
    <t xml:space="preserve">Original Shells &amp; Cheese Microwaveable Cups</t>
  </si>
  <si>
    <t xml:space="preserve">Microwavable cup; material not stated (Kraft trialled a fibre cup in 2021). Check the base.</t>
  </si>
  <si>
    <t xml:space="preserve">Add water to fill line to help prevent risk of fire | Do not leave microwave unattended | Do not drain | Do not reuse cup | Cup and contents will be very hot</t>
  </si>
  <si>
    <t xml:space="preserve">Single-serve microwavable cup with lid, fill line and cheese sauce pouch. Label: 'Starch blend in cup reduces risk of boil over and thickens sauce.' Material not stated.</t>
  </si>
  <si>
    <t xml:space="preserve">No wattage or stand time on label transcription | Servings per container 8 for the 8-ct box (H-E-B 4-ct box lists 4) | H-E-B warning says 'POUCH AND CONTENTS WILL BE VERY HOT' while Hannaford says 'Cup and contents' | UPC not shown | Sold in multi-cup boxes; one cup is the product.</t>
  </si>
  <si>
    <t xml:space="preserve">https://www.hannaford.com/groceries/product/velveeta-original-shells-cheese-pasta-microwaveable-cup-8-ct-19-1-oz-box/215301 https://www.heb.com/product-detail/velveeta-original-shells-and-cheese-cups/1256845</t>
  </si>
  <si>
    <t xml:space="preserve">zw-209</t>
  </si>
  <si>
    <t xml:space="preserve">Triple Cheese Mac &amp; Cheese Dinner Microwaveable Cups</t>
  </si>
  <si>
    <t xml:space="preserve">Single-serve microwavable cup with lid and fill line. Material not stated. Kraft tested a recyclable fiber-based microwavable cup in 2021 (see packaging_statements); whether the current cup is fiber-based is not confirmed.</t>
  </si>
  <si>
    <t xml:space="preserve">No wattage or stand time on label transcription | UPC not shown | Sold in multi-cup boxes; one cup is the product.</t>
  </si>
  <si>
    <t xml:space="preserve">https://www.hannaford.com/groceries/product/kraft-triple-cheese-mac-cheese-dinner-microwaveable-cup-4-ct-8-2-oz-pkg/196513</t>
  </si>
  <si>
    <t xml:space="preserve">zw-210</t>
  </si>
  <si>
    <t xml:space="preserve">Annie's</t>
  </si>
  <si>
    <t xml:space="preserve">Organic White Cheddar Macaroni &amp; Cheese Cups</t>
  </si>
  <si>
    <t xml:space="preserve">Cup and pasta will be very hot</t>
  </si>
  <si>
    <t xml:space="preserve">Single-serve microwavable cup with lid and fill line. Material not stated.</t>
  </si>
  <si>
    <t xml:space="preserve">https://www.hannaford.com/groceries/product/annies-macaroni-cheese-white-cheddar-cups-organic-4-ct-8-04-oz-box/229390</t>
  </si>
  <si>
    <t xml:space="preserve">zw-211</t>
  </si>
  <si>
    <t xml:space="preserve">Deluxe Microwavable Classic Cheddar Shells &amp; Cheese Cups</t>
  </si>
  <si>
    <t xml:space="preserve">Single-serve microwavable cup with lid, fill line and cheese sauce packet. Material not stated.</t>
  </si>
  <si>
    <t xml:space="preserve">No wattage or stand time | Two-stage heating with a stir between (3 min total) | UPC not shown | Listing gives the 4-cup box (10.4 oz); one cup is taken as 2.6 oz.</t>
  </si>
  <si>
    <t xml:space="preserve">https://www.hannaford.com/groceries/product/annies-deluxe-microwavable-classic-cheddar-shells-cheese-cups-4-ct-10-4-oz-pkg/263764</t>
  </si>
  <si>
    <t xml:space="preserve">zw-212</t>
  </si>
  <si>
    <t xml:space="preserve">Compleats Homestyle Chicken Alfredo</t>
  </si>
  <si>
    <t xml:space="preserve">Shelf-stable plastic microwave tray (retailer titles).</t>
  </si>
  <si>
    <t xml:space="preserve">Not for use in conventional ovens | Contents and tray will be hot | No refrigeration needed until opened</t>
  </si>
  <si>
    <t xml:space="preserve">Shelf-stable microwavable tray sealed with film. Walmart listing titles for other Compleats varieties call it a 'Plastic Tray' / 'Plastic Microwaveable Tray'; resin not stated.</t>
  </si>
  <si>
    <t xml:space="preserve">No wattage or power level stated | Kroger-family item code from Fred Meyer/City Market search-result URLs (not fetched); UPC not shown | Servings per container blank on page; 1 assumed from 'serving size 1 tray'</t>
  </si>
  <si>
    <t xml:space="preserve">https://www.hannaford.com/groceries/product/hormel-compleats-homestyle-chicken-alfredo-microwavable-10-oz-pkg/155818</t>
  </si>
  <si>
    <t xml:space="preserve">zw-213</t>
  </si>
  <si>
    <t xml:space="preserve">Dinty Moore</t>
  </si>
  <si>
    <t xml:space="preserve">Beef Stew Microwavable (single tray)</t>
  </si>
  <si>
    <t xml:space="preserve">Not for use in conventional ovens | Contents and tray will be hot</t>
  </si>
  <si>
    <t xml:space="preserve">Shelf-stable microwavable tray sealed with film. Material not stated.</t>
  </si>
  <si>
    <t xml:space="preserve">No wattage stated | Directions identical to Hormel Compleats wording | UPC not shown</t>
  </si>
  <si>
    <t xml:space="preserve">https://www.hannaford.com/groceries/product/dinty-moore-beef-stew-microwavable-9-oz-pkg/155823</t>
  </si>
  <si>
    <t xml:space="preserve">zw-214</t>
  </si>
  <si>
    <t xml:space="preserve">Chunky Chili Mac, Microwavable Bowl</t>
  </si>
  <si>
    <t xml:space="preserve">51000286298</t>
  </si>
  <si>
    <t xml:space="preserve">Microwavable plastic bowl or cup; remove any metal lid first.</t>
  </si>
  <si>
    <t xml:space="preserve">Label: microwave ovens vary, time is approximate; uneven heating may cause popping, bowl movement or splattering.</t>
  </si>
  <si>
    <t xml:space="preserve">Microwavable bowl with peel-off cover and plastic cap. Material not stated.</t>
  </si>
  <si>
    <t xml:space="preserve">No reference wattage stated</t>
  </si>
  <si>
    <t xml:space="preserve">https://www.campbellsfoodservice.com/product/chili-mac-soup/</t>
  </si>
  <si>
    <t xml:space="preserve">zw-215</t>
  </si>
  <si>
    <t xml:space="preserve">Chunky Meat Lovers Mac, Microwavable Bowl</t>
  </si>
  <si>
    <t xml:space="preserve">Do not add water | Do not reuse or reheat bowl | Do not purchase if open or punctured | Caution: metal edges are sharp | Plastic cap may be hot</t>
  </si>
  <si>
    <t xml:space="preserve">Microwavable bowl with peel-off cover and plastic cap. Label warns 'Metal edges are sharp', which suggests a metal component in the cover or rim that is removed before heating; material otherwise not stated.</t>
  </si>
  <si>
    <t xml:space="preserve">No reference wattage stated | The 'metal edges' warning is worth confirming on the package, since the app should tell users the cover must be fully removed before microwaving | UPC not shown</t>
  </si>
  <si>
    <t xml:space="preserve">https://www.foodlion.com/groceries/product/campbells-chunky-bowl-meat-lovers-mac-microwavable-15-25-oz-cup/406128</t>
  </si>
  <si>
    <t xml:space="preserve">zw-216</t>
  </si>
  <si>
    <t xml:space="preserve">Amy's Bowls Organic Gluten Free Broccoli &amp; Cheddar Bake</t>
  </si>
  <si>
    <t xml:space="preserve">Amy's bowl or tray goes into the conventional oven; material not stated.</t>
  </si>
  <si>
    <t xml:space="preserve">None given. Label says ovens may vary.</t>
  </si>
  <si>
    <t xml:space="preserve">Toaster oven: remove overwrap and bowl and use an oven-safe dish</t>
  </si>
  <si>
    <t xml:space="preserve">375°F, remove overwrap, bowl on baking sheet, 35-40 min, sit 1 min. Toaster oven: transfer to oven-safe dish.</t>
  </si>
  <si>
    <t xml:space="preserve">Bowl in plastic overwrap; the bowl goes in a conventional oven at 375°F but must be replaced by an oven-safe dish in a toaster oven. Material not stated.</t>
  </si>
  <si>
    <t xml:space="preserve">No reference wattage | amys.com product pages not readable (previous batch) | UPC not shown</t>
  </si>
  <si>
    <t xml:space="preserve">https://www.hannaford.com/groceries/product/amys-bowls-organic-gluten-free-broccoli-cheddar-bake-frozen-meal-9-5-oz-box/187013</t>
  </si>
  <si>
    <t xml:space="preserve">zw-217</t>
  </si>
  <si>
    <t xml:space="preserve">Organic Gluten Free Cheese Enchilada Whole Meal</t>
  </si>
  <si>
    <t xml:space="preserve">Toaster oven: remove overwrap and tray and use an oven-safe dish</t>
  </si>
  <si>
    <t xml:space="preserve">375°F, remove overwrap, cover tray with foil, on baking sheet, 45-50 min, sit 1 min.</t>
  </si>
  <si>
    <t xml:space="preserve">Multi-compartment tray in plastic overwrap; tray is used in the conventional oven (foil-covered) but not the toaster oven. Material not stated.</t>
  </si>
  <si>
    <t xml:space="preserve">No reference wattage | Uses MEDIUM then HIGH power levels | UPC not shown</t>
  </si>
  <si>
    <t xml:space="preserve">https://www.hannaford.com/groceries/product/amys-organic-gluten-free-cheese-enchilada-whole-frozen-meal-9-oz-box/44430</t>
  </si>
  <si>
    <t xml:space="preserve">zw-218</t>
  </si>
  <si>
    <t xml:space="preserve">Jimmy Dean</t>
  </si>
  <si>
    <t xml:space="preserve">Meat Lovers Breakfast Bowl</t>
  </si>
  <si>
    <t xml:space="preserve">00077900706158</t>
  </si>
  <si>
    <t xml:space="preserve">Label: microwaves below 1100 watts may need extra time to reach proper temperature.</t>
  </si>
  <si>
    <t xml:space="preserve">Do not cook in toaster oven | Keep frozen until ready to use | Product will be hot</t>
  </si>
  <si>
    <t xml:space="preserve">Film-covered bowl in carton. Material not stated.</t>
  </si>
  <si>
    <t xml:space="preserve">https://www.hannaford.com/groceries/product/jimmy-dean-meat-lovers-breakfast-bowl-frozen-meal-7-oz-box/199280 https://sites.salsify.com/aa1704a5-eac3-4658-8b85-aa434cec8f75/d7e6ef5f-f7bf-46e8-9328-73a03b469161/product/00077900706158/Jimmy-Dean-Breakfast-Bowl-Meat-Lovers-Frozen-7-oz-Bowl/</t>
  </si>
  <si>
    <t xml:space="preserve">zw-219</t>
  </si>
  <si>
    <t xml:space="preserve">Delights Turkey Sausage, Egg White &amp; Cheese English Muffin Sandwiches, 4 count</t>
  </si>
  <si>
    <t xml:space="preserve">Label: heat times may need adjusting for other ovens; if needed add time in 5-second increments.</t>
  </si>
  <si>
    <t xml:space="preserve">Do not refrigerate longer than 3 days | Keep frozen until ready to use | Product will be hot</t>
  </si>
  <si>
    <t xml:space="preserve">Not on the retailer page; label refers to jimmydean.com for conventional oven directions.</t>
  </si>
  <si>
    <t xml:space="preserve">Paperboard box of individually wrapped sandwiches; wrapper removed before heating. Material not stated.</t>
  </si>
  <si>
    <t xml:space="preserve">Times for 2 sandwiches not given | Uses a 30% defrost step before HIGH | UPC not shown | 4-pack (20.4 oz); the label time is for one sandwich.</t>
  </si>
  <si>
    <t xml:space="preserve">https://www.hannaford.com/groceries/product/jimmy-dean-delights-turkey-sausage-english-muffin-sandwiches-4-ct-20-4-oz-box/153148</t>
  </si>
  <si>
    <t xml:space="preserve">zw-220</t>
  </si>
  <si>
    <t xml:space="preserve">El Monterey</t>
  </si>
  <si>
    <t xml:space="preserve">Beef &amp; Bean Burritos Family Pack, 8 count</t>
  </si>
  <si>
    <t xml:space="preserve">Product may be hot | Keep frozen</t>
  </si>
  <si>
    <t xml:space="preserve">Oven 375°F, 1 inch apart on baking sheet, uncovered, 25 min, stand 1 min. Air fryer 380°F, 2 burritos, 6 min, flip, 6 min, stand 1 min.</t>
  </si>
  <si>
    <t xml:space="preserve">Bag/box of individually wrapped burritos. Material not stated.</t>
  </si>
  <si>
    <t xml:space="preserve">Wrapper handling (remove or keep) not stated in the transcription; photograph the pack | Time for 2 burritos not given | UPC not shown | 8-pack (32 oz); the label time is for one burrito.</t>
  </si>
  <si>
    <t xml:space="preserve">https://www.hannaford.com/groceries/product/el-monterey-beef-bean-burritos-family-pack-8-ct-frozen-32-oz-pkg/167792</t>
  </si>
  <si>
    <t xml:space="preserve">zw-221</t>
  </si>
  <si>
    <t xml:space="preserve">Any'tizers Buffalo Style Boneless Chicken Bites</t>
  </si>
  <si>
    <t xml:space="preserve">None given. Label: appliances vary, heating times approximate.</t>
  </si>
  <si>
    <t xml:space="preserve">Do not overheat | Keep frozen</t>
  </si>
  <si>
    <t xml:space="preserve">Preferred: oven 400°F, foil-lined sprayed baking sheet, top rack, 15-20 min, turn halfway. Air fryer 360°F single layer 11-12 min.</t>
  </si>
  <si>
    <t xml:space="preserve">24 oz bag of frozen pieces; user supplies the plate. Bag material not stated.</t>
  </si>
  <si>
    <t xml:space="preserve">Microwave times come from a third-party delivery listing (Uber Eats/Gopuff); tyson.com shows a microwave section with no times | No reference wattage | Nutrition conflict: tyson.com 190 kcal / 8 g fat per serving vs H-E-B 170 kcal / 7 g per 3 oz; tyson.com values recorded | UPC not shown</t>
  </si>
  <si>
    <t xml:space="preserve">https://www.ubereats.com/store/gopuff-liquor-%26-more/3L6FApafX7WInNpwwS42Bg/6f073d42-ca45-57a5-857c-a9d7fda78944/6f073d42-ca45-57a5-857c-a9d7fda78944/55cfed84-12c5-517d-a10f-2cd571be1e23 https://www.tyson.com/products/anytizers-boneless-chicken-bites-buffalo https://www.heb.com/product-detail/tyson-any-tizers-frozen-buffalo-style-boneless-chicken-bites/1209812</t>
  </si>
  <si>
    <t xml:space="preserve">zw-222</t>
  </si>
  <si>
    <t xml:space="preserve">Smart Ones</t>
  </si>
  <si>
    <t xml:space="preserve">Three Cheese Ziti Marinara</t>
  </si>
  <si>
    <t xml:space="preserve">None given. Label: adjust for variations in microwave ovens.</t>
  </si>
  <si>
    <t xml:space="preserve">Microwave oven only | Do not prepare in conventional or toaster oven | Do not refreeze | Do not reuse tray | Product and packaging will be hot</t>
  </si>
  <si>
    <t xml:space="preserve">Film-covered tray in carton, microwave only. Material not stated.</t>
  </si>
  <si>
    <t xml:space="preserve">Description says 8 g fat, Nutrition Facts panel says 9 g; panel value recorded | A Canadian Food Basics URL carries 057000036447 for a similar product; not used because it is a different market | UPC not shown</t>
  </si>
  <si>
    <t xml:space="preserve">https://www.hannaford.com/groceries/product/smart-ones-three-cheese-ziti-marinara-12g-protein-frozen-meal-9-oz-box/84637</t>
  </si>
  <si>
    <t xml:space="preserve">zw-301</t>
  </si>
  <si>
    <t xml:space="preserve">Ready Rice Original Long Grain White</t>
  </si>
  <si>
    <t xml:space="preserve">054800423330</t>
  </si>
  <si>
    <t xml:space="preserve">Microwave or boil-in pouch.</t>
  </si>
  <si>
    <t xml:space="preserve">None given. Label says microwave times may vary.</t>
  </si>
  <si>
    <t xml:space="preserve">BPA-free microwavable rice pouch, heated in the pouch after tearing a 2-inch vent; has a cool-touch area. Layers not stated.</t>
  </si>
  <si>
    <t xml:space="preserve">steps are a retailer label transcription (Hannaford) but no wattage is printed, so marked partial | per-cup values from Hannaford, per-pouch values (250 g) from ShopRite; servings per container not shown | UPC from ShopRite item ID 00054800423330</t>
  </si>
  <si>
    <t xml:space="preserve">https://preview.hannaford.com/groceries/rice-pasta-beans/rice/white-rice/bens-original-90-second-microwave-ready-rice-long-grain-white-original-88-oz-pkg.html https://shoprite.com/product/bens-original-ready-rice-original-long-grain-white-rice-easy-dinner-side-88-ounce-pouch-id-00054800423330</t>
  </si>
  <si>
    <t xml:space="preserve">zw-302</t>
  </si>
  <si>
    <t xml:space="preserve">Ready Rice Whole Grain Brown</t>
  </si>
  <si>
    <t xml:space="preserve">BPA-free microwave rice pouch (H-E-B copy: 'Ready Rice comes in a BPA-free microwave rice pouch'). Caution: steam from pouch will be hot. Layers not stated.</t>
  </si>
  <si>
    <t xml:space="preserve">no wattage printed per transcription | UPC not shown on readable pages | H-E-B shows '0 servings per container' (display error), left null</t>
  </si>
  <si>
    <t xml:space="preserve">https://preview.hannaford.com/groceries/rice-pasta-beans/rice/brown-rice/bens-original-90-second-microwave-ready-rice-whole-grain-brown-88-oz-pkg.html https://heb.com/product-detail/uncle-ben-s-ready-rice-whole-grain-brown-rice/592800</t>
  </si>
  <si>
    <t xml:space="preserve">zw-303</t>
  </si>
  <si>
    <t xml:space="preserve">Ready Rice Garden Vegetable Flavored Rice</t>
  </si>
  <si>
    <t xml:space="preserve">BPA-free microwavable rice pouch. Layers not stated.</t>
  </si>
  <si>
    <t xml:space="preserve">squeeze and tear-to-vent steps not shown on H-E-B page; other Ready Rice labels (zw-301, zw-302) have them | UPC not shown</t>
  </si>
  <si>
    <t xml:space="preserve">https://heb.com/product-detail/ben-s-original-ready-rice-garden-vegetable/902860</t>
  </si>
  <si>
    <t xml:space="preserve">zw-304</t>
  </si>
  <si>
    <t xml:space="preserve">Minute</t>
  </si>
  <si>
    <t xml:space="preserve">Ready to Serve White Rice Cups, 2 Count</t>
  </si>
  <si>
    <t xml:space="preserve">Minute Rice cups are plastic #5 and BPA free [S70].</t>
  </si>
  <si>
    <t xml:space="preserve">None given. Label says microwave ovens and cooking times may vary.</t>
  </si>
  <si>
    <t xml:space="preserve">Single-serve plastic cup with peel-off film lid, in a paper sleeve. Minute FAQ: cups are recyclable (plastic #5) and BPA free. H-E-B copy: '100% recyclable BPA-free cups'.</t>
  </si>
  <si>
    <t xml:space="preserve">no wattage stated | UPC not shown on readable pages | film is removed completely before heating (not vented)</t>
  </si>
  <si>
    <t xml:space="preserve">https://www.safeway.com/shop/pd/minute-ready-to-serve-white-rice-2-count-8-8-oz/960113411 https://www.heb.com/product-detail/minute-ready-to-serve-white-rice-2-ct/1025500 https://minuterice.com/faqs/other/ https://www.orderroombox.com/product/minute-rice-white-rice/</t>
  </si>
  <si>
    <t xml:space="preserve">zw-305</t>
  </si>
  <si>
    <t xml:space="preserve">Ready to Serve Chicken &amp; Herb Seasoned Rice Cups, 2 Count</t>
  </si>
  <si>
    <t xml:space="preserve">BPA-free plastic cups recyclable via store drop-off (per H-E-B copy); paper sleeves made from 100% recycled material, curbside recyclable. Brand FAQ says Minute cups are plastic #5.</t>
  </si>
  <si>
    <t xml:space="preserve">only 'heats up in 1 minute' found; film handling and 2-cup time not shown (White Rice cup: remove film completely, 2 cups 1 1/2 min) | total fat not listed on H-E-B page | net weight shown only as 2 x 4.4 oz cups</t>
  </si>
  <si>
    <t xml:space="preserve">https://www.heb.com/product-detail/1137491 https://minuterice.com/faqs/other/</t>
  </si>
  <si>
    <t xml:space="preserve">zw-306</t>
  </si>
  <si>
    <t xml:space="preserve">Seeds of Change</t>
  </si>
  <si>
    <t xml:space="preserve">Organic Quinoa &amp; Brown Rice with Garlic</t>
  </si>
  <si>
    <t xml:space="preserve">Ready-to-heat microwave pouch, torn 2 inches to vent before heating. Material not stated on this product's pages.</t>
  </si>
  <si>
    <t xml:space="preserve">nutrition conflict: Instacart 240 kcal / 4.5 g per 150 g, about 2 servings; H-E-B 280 kcal / 4.5 g per 1 cup (150 g) and 440 kcal / 8 g per pouch; check package | no wattage stated | BPA-free claim appears on sister product zw-307 but not on this product's pages</t>
  </si>
  <si>
    <t xml:space="preserve">https://milams.instacart.com/store/milams/products/24380-seeds-of-change-organic-quinoa-brown-rice-8-5-oz https://heb.com/product-detail/seeds-of-change-quinoa-brown-rice-with-garlic/1180230</t>
  </si>
  <si>
    <t xml:space="preserve">zw-307</t>
  </si>
  <si>
    <t xml:space="preserve">Organic Brown Basmati Rice</t>
  </si>
  <si>
    <t xml:space="preserve">748404287930</t>
  </si>
  <si>
    <t xml:space="preserve">BPA-free microwave pouch (ShopRite copy: 'BPA free pouch'). Layers not stated.</t>
  </si>
  <si>
    <t xml:space="preserve">tear/vent step not shown on ShopRite copy; sister product zw-306 says tear 2 inches to vent | no wattage stated</t>
  </si>
  <si>
    <t xml:space="preserve">https://www.shoprite.com/product/seeds-of-change-organic-brown-basmati-rice-85-oz-00748404287930</t>
  </si>
  <si>
    <t xml:space="preserve">zw-308</t>
  </si>
  <si>
    <t xml:space="preserve">Success</t>
  </si>
  <si>
    <t xml:space="preserve">Boil-in-Bag White Rice, 4 Bags</t>
  </si>
  <si>
    <t xml:space="preserve">None given. Brand says microwave ovens vary and times are approximate.</t>
  </si>
  <si>
    <t xml:space="preserve">We do not recommend using the microwave to cook multiple bags</t>
  </si>
  <si>
    <t xml:space="preserve">Perforated boil-in-bag inside a carton; cooked submerged in water in a separate bowl, not heated dry. Brand FAQ: 'BPA-Free and FDA-approved for food contact'. Retailer copy: 'Recycle both the box and the bag'. Bag polymer not stated.</t>
  </si>
  <si>
    <t xml:space="preserve">category 'pouch' used for a boil-in-bag that is microwaved under water in a bowl; the app should not treat it like a dry-heat pouch | brand FAQ gives 15 min instead of 10 for Basmati, Jasmine and Quinoa bags | nutrition conflict: H-E-B 180 kcal per 1/2 bag (8 servings); Instacart 210 kcal per 0.5 cup (7 servings); check package | no wattage stated | UPC not shown</t>
  </si>
  <si>
    <t xml:space="preserve">https://successrice.com/faqs/cooking/ https://delivery.publix.com/store/publix/products/22027-success-ten-minute-boil-in-bag-white-rice-3-5-oz https://www.orderroombox.com/product/success-ten-minute-boil-in-bag-white-rice/ https://heb.com/product-detail/success-boil-in-bag-white-rice/33265</t>
  </si>
  <si>
    <t xml:space="preserve">zw-309</t>
  </si>
  <si>
    <t xml:space="preserve">Idahoan</t>
  </si>
  <si>
    <t xml:space="preserve">Buttery Homestyle Mashed Potatoes Cups, 4 Count</t>
  </si>
  <si>
    <t xml:space="preserve">Microwavable cup or bowl; material not stated. Check the base.</t>
  </si>
  <si>
    <t xml:space="preserve">Do not reuse cup</t>
  </si>
  <si>
    <t xml:space="preserve">Single-serve cup with removable lid and inside fill line; label warns 'Cup &amp; contents will be very hot!' and 'Do not reuse cup'. Material not stated.</t>
  </si>
  <si>
    <t xml:space="preserve">serving size '1 cup' appears to mean one prepared cup container; check package | UPC not shown (brand page store-locator link contains 10029700341411, not labeled as a UPC) | Listing gives the 4-cup box (6 oz); one cup is 1.5 oz.</t>
  </si>
  <si>
    <t xml:space="preserve">https://preview.hannaford.com/groceries/rice-pasta-beans/packaged-meals-sides/instant-potatoes/idahoan-buttery-homestyle-mashed-potatoes-cups-microwave-4-ct-6-oz-pkg.html https://idahoan.com/products/buttery-homestyle-cup https://idahoan.com/collections/cups</t>
  </si>
  <si>
    <t xml:space="preserve">zw-310</t>
  </si>
  <si>
    <t xml:space="preserve">Four Cheese Mashed Potatoes Cup</t>
  </si>
  <si>
    <t xml:space="preserve">Single-serve cup with removable lid and inside fill line; 'Cup and contents will be very hot!'. Material not stated.</t>
  </si>
  <si>
    <t xml:space="preserve">wattage not on brand page; the Buttery Homestyle cup label (zw-309) states 1100 W | nutrition panel not in page text | UPC not shown (store-locator link contains 029700341459, not labeled as a UPC)</t>
  </si>
  <si>
    <t xml:space="preserve">https://idahoan.com/products/four-cheese-cup https://idahoan.com/collections/cups</t>
  </si>
  <si>
    <t xml:space="preserve">zw-311</t>
  </si>
  <si>
    <t xml:space="preserve">Bob Evans</t>
  </si>
  <si>
    <t xml:space="preserve">Original Mashed Potatoes (refrigerated)</t>
  </si>
  <si>
    <t xml:space="preserve">075900005264</t>
  </si>
  <si>
    <t xml:space="preserve">chilled</t>
  </si>
  <si>
    <t xml:space="preserve">Refrigerated film-sealed plastic tray.</t>
  </si>
  <si>
    <t xml:space="preserve">None given. Label says settings vary by microwave.</t>
  </si>
  <si>
    <t xml:space="preserve">Refrigerated film-sealed tray inside a paperboard ('board') overwrap; film is vented and then pulled back to stir. Tray material not stated.</t>
  </si>
  <si>
    <t xml:space="preserve">refrigerated (keep refrigerated), not frozen; 'frozen_tray' used because it is a film-sealed tray | label target temperature is 160°F, not the 165°F used on frozen meals | no wattage stated | servings per container given only as 'Serves 4-5'</t>
  </si>
  <si>
    <t xml:space="preserve">https://www.ubereats.com/store/albertsons-3145-s-alma-school-rd/UeGX8RQvWWW0sUqfrFBSKA/33ee60f3-409f-541f-901b-5257775ad45d/7831870f-bd8a-4a2d-8db9-d1c7942d26c0/5a3a55c4-a471-54a6-9d0b-b74104e71a76 https://www.shoprite.com/product/bob-evans-original-mashed-potatoes-24-oz-id-00075900005264 https://www.wegmans.com/shop/product/970214-Original-Mashed-Potatoes</t>
  </si>
  <si>
    <t xml:space="preserve">zw-312</t>
  </si>
  <si>
    <t xml:space="preserve">Quaker</t>
  </si>
  <si>
    <t xml:space="preserve">Instant Oatmeal Cups Maple &amp; Brown Sugar</t>
  </si>
  <si>
    <t xml:space="preserve">None given. Brand says microwave ovens vary in power and time may need adjusting.</t>
  </si>
  <si>
    <t xml:space="preserve">Single-serve cup with removable lid and inside fill line; brand says extra space is built into the cup to prevent boil-over. Caution: cup and contents may be hot. Material not stated.</t>
  </si>
  <si>
    <t xml:space="preserve">net weight, UPC and nutrition not in page text | the SmartLabel link on the brand page resolved to a different product (Quaker Fiber Maple &amp; Brown Sugar packets, UPC 030000261903), so it was not used | no wattage stated</t>
  </si>
  <si>
    <t xml:space="preserve">https://quakeroats.com/products/hot-cereals/instant-oatmeal-cups/maple-and-brown-sugar</t>
  </si>
  <si>
    <t xml:space="preserve">zw-313</t>
  </si>
  <si>
    <t xml:space="preserve">Cup Noodles Beef Flavor</t>
  </si>
  <si>
    <t xml:space="preserve">Double-wall paper cup since 2024.</t>
  </si>
  <si>
    <t xml:space="preserve">Double-wall fiber-based paper cup (Graphic Packaging) introduced in early 2024 for all 16-oz-size Cup Noodles flavors; 40% recycled fiber; sleeve of 100% recycled paper; no plastic overwrap; polystyrene-free. Inner coating not stated.</t>
  </si>
  <si>
    <t xml:space="preserve">2:15 microwave time is the brand's general statement for the paper cup; Beef lid directions (water volume, stand, stir, wattage) not readable online | net weight from retailer listing title (2.25 oz) | a 2015 Nissin launch also called Cup Noodles 'microwavable' (2 1/2 min); cups in stores may differ by vintage, so check the cup | category paper_cup; zw-017 (Chicken) uses cup_bowl for the same cup and could be recategorized</t>
  </si>
  <si>
    <t xml:space="preserve">https://heb.com/product-detail/nissin-beef-cup-noodles-value-pack/2224358 https://www.packworld.com/design/materials-containers/article/22877972/nissin-foods-cup-noodles-moves-to-paper-cup https://www.nissinfoods.com/?p=1939 https://giantfoodstores.com/groceries/product/nissin-cup-noodles-beef-flavor-ramen-soup-2-25-oz-cup/30574</t>
  </si>
  <si>
    <t xml:space="preserve">zw-314</t>
  </si>
  <si>
    <t xml:space="preserve">Bowl Hot &amp; Spicy Chicken Flavor Ramen Noodle Soup</t>
  </si>
  <si>
    <t xml:space="preserve">Microwavable bowl with peel lid and inside fill line. Material not stated.</t>
  </si>
  <si>
    <t xml:space="preserve">directions come from a 2022 product review that transcribed the package, not a retailer or brand page | net weight from retailer listing title (3.32 oz) | contrast: Maruchan Instant Lunch cup (zw-016) says do not microwave; the Bowl line is microwaved | Maruchan Bowl Chicken Flavor (3.31 oz) directions were not readable online</t>
  </si>
  <si>
    <t xml:space="preserve">https://www.theramenrater.com/2022/10/16/4285-maruchan-ramen-bowl-hot-spicy-chicken-flavor-ramen-noodle-soup-united-states/ https://foodlion.com/groceries/product/maruchan-hot-spicy-chicken-flavor-ramen-noodle-soup-bowl-3-32-oz-pkg/199315</t>
  </si>
  <si>
    <t xml:space="preserve">zw-315</t>
  </si>
  <si>
    <t xml:space="preserve">Soup on the Go Tomato Sipping Soup, Microwavable Cup</t>
  </si>
  <si>
    <t xml:space="preserve">None given. Label says microwaves vary and time is approximate.</t>
  </si>
  <si>
    <t xml:space="preserve">Sipping cup with red cap and peel-off tab under the cap; label warns 'Metal edges are sharp' after peeling. Cup body material not stated.</t>
  </si>
  <si>
    <t xml:space="preserve">the 'metal edges' caution suggests a metal component at the opening; the label still says to microwave after the tab is removed, so photograph the cup before the app gives any metal warning | serving size and calories not in page text | no wattage stated | UPC not shown</t>
  </si>
  <si>
    <t xml:space="preserve">https://www.ubereats.com/store/meijer-15-caberfae-hwys/_0IgFIy0VAS7aJ6ZCnin6w/7db7887d-ebe8-530f-b42e-cb36f9ea07bd/2a728ca5-308a-55c1-977e-6ead17604b74/543cd83e-ca79-5251-92ec-2a6c9e96df06</t>
  </si>
  <si>
    <t xml:space="preserve">zw-316</t>
  </si>
  <si>
    <t xml:space="preserve">Soup on the Go Chicken &amp; Mini Round Noodles, Microwavable Cup</t>
  </si>
  <si>
    <t xml:space="preserve">051000149824</t>
  </si>
  <si>
    <t xml:space="preserve">Sipping cup with cap and removable tab; listing references how2recycle.info. Material not stated.</t>
  </si>
  <si>
    <t xml:space="preserve">directions from a reseller description, not a label transcription; the Tomato cup label (zw-315) adds shake, peel-toward-you and stir steps and a sharp-metal-edge caution | calories from '60 calories per container' claim; total fat not in page text | ACME lists 10.8 oz, reseller lists 10.75 oz</t>
  </si>
  <si>
    <t xml:space="preserve">https://www.ontimesupplies.com/grr35100007-soup-on-the-go-chicken-with-mini-noodles-1075-oz-cup-8-carton-ships-in-1-3-business-days.html https://lborderacme.rmrdevelopment.com/product/00051000149824/campbells-soup-chicken-mini-round-noodles</t>
  </si>
  <si>
    <t xml:space="preserve">zw-317</t>
  </si>
  <si>
    <t xml:space="preserve">Pop Secret</t>
  </si>
  <si>
    <t xml:space="preserve">Butter Microwave Popcorn</t>
  </si>
  <si>
    <t xml:space="preserve">None given. Brand says microwave power varies.</t>
  </si>
  <si>
    <t xml:space="preserve">Never use the popcorn button | Don't wander off</t>
  </si>
  <si>
    <t xml:space="preserve">Microwave popcorn bag with 'THIS SIDE UP' marking. Bag material, susceptor and PFAS status not stated on brand pages or FAQ.</t>
  </si>
  <si>
    <t xml:space="preserve">2 1/2 min is a timer setting with an audio stop cue, not a fixed cook time | net weight not in page text (image file names suggest 3.2 oz bags in 6-count boxes, not confirmed) | nutrition values not in page text | no wattage stated | UPC not shown</t>
  </si>
  <si>
    <t xml:space="preserve">https://popsecret.com/products/butter https://popsecret.com/pages/faq</t>
  </si>
  <si>
    <t xml:space="preserve">zw-318</t>
  </si>
  <si>
    <t xml:space="preserve">Movie Theater Butter Microwave Popcorn</t>
  </si>
  <si>
    <t xml:space="preserve">https://popsecret.com/products/movie-theater-butter https://popsecret.com/pages/faq</t>
  </si>
  <si>
    <t xml:space="preserve">zw-319</t>
  </si>
  <si>
    <t xml:space="preserve">Homestyle Butter Microwave Popcorn</t>
  </si>
  <si>
    <t xml:space="preserve">https://popsecret.com/products/homestyle-butter https://popsecret.com/pages/faq</t>
  </si>
  <si>
    <t xml:space="preserve">zw-320</t>
  </si>
  <si>
    <t xml:space="preserve">Steamfresh Broccoli Florets</t>
  </si>
  <si>
    <t xml:space="preserve">014500021830</t>
  </si>
  <si>
    <t xml:space="preserve">Do not pierce bag | Keep frozen, do not thaw | Cook only one product at a time</t>
  </si>
  <si>
    <t xml:space="preserve">Microwave steam bag with built-in vent (may whistle), light blue corner tabs and tear notch. Material not stated.</t>
  </si>
  <si>
    <t xml:space="preserve">SmartLabel nutrition page returned a server error; nutrition from ShopRite (servings read as 4 from panel layout) | ShopRite marketing copy says 4 min; label table is 4 1/2 / 5 / 6 min by wattage</t>
  </si>
  <si>
    <t xml:space="preserve">https://smartlabel.labelinsight.com/product/6446590/other/instructions https://www.shoprite.com/product/birds-eye-steamfresh-broccoli-florets-108-oz-id-00014500021830</t>
  </si>
  <si>
    <t xml:space="preserve">zw-321</t>
  </si>
  <si>
    <t xml:space="preserve">Steamfresh Mixed Vegetables</t>
  </si>
  <si>
    <t xml:space="preserve">014500021281</t>
  </si>
  <si>
    <t xml:space="preserve">Do not pierce bag | Keep frozen until cooking | Cook one product at a time</t>
  </si>
  <si>
    <t xml:space="preserve">Microwave steam bag with steam vent and light blue corner tabs; cooks in the bag. Material not stated.</t>
  </si>
  <si>
    <t xml:space="preserve">ShopRite marketing copy says 4-4 1/2 min microwave and 11-13 min stovetop, which differs from the Hannaford label transcription used here; check package | UPC from ShopRite item ID</t>
  </si>
  <si>
    <t xml:space="preserve">https://preview.hannaford.com/groceries/frozen/frozen-vegetables/frozen-mixed-vegetables/birds-eye-steamfresh-mixed-vegetables-frozen-10-oz-bag.html https://www.shoprite.com/product/birds-eye-steamfresh-mixed-vegetables-10-oz-id-00014500021281</t>
  </si>
  <si>
    <t xml:space="preserve">zw-322</t>
  </si>
  <si>
    <t xml:space="preserve">Steamfresh Mixed Vegetables Family Size</t>
  </si>
  <si>
    <t xml:space="preserve">Below 800 W, stovetop cooking is recommended.</t>
  </si>
  <si>
    <t xml:space="preserve">Family-size microwave steam bag. Material not stated.</t>
  </si>
  <si>
    <t xml:space="preserve">times come from the Birds Eye FAQ example, not a label transcription, so marked partial even though a wattage table exists | do-not statements, UPC and nutrition not collected</t>
  </si>
  <si>
    <t xml:space="preserve">https://www.birdseye.com/faq https://giantfoodstores.com/groceries/product/birds-eye-steamfresh-mixed-vegetables-family-size-frozen-19-oz-bag/165532</t>
  </si>
  <si>
    <t xml:space="preserve">zw-323</t>
  </si>
  <si>
    <t xml:space="preserve">Sweet Peas (boxed, microwavable pouch)</t>
  </si>
  <si>
    <t xml:space="preserve">190569522294</t>
  </si>
  <si>
    <t xml:space="preserve">Chart goes down to 700 W; label says wattages vary, adjust time.</t>
  </si>
  <si>
    <t xml:space="preserve">Do not cut slit in pouch | Do not leave microwave unattended | Do not thaw | Do not heat pouch in boiling water (stovetop)</t>
  </si>
  <si>
    <t xml:space="preserve">Freezer box with a microwavable pouch inside; pouch is heated sealed (no slit). Material not stated.</t>
  </si>
  <si>
    <t xml:space="preserve">servings per container is 'about 2.5' | SmartLabel does not show a line name; this boxed-pouch format matches the Green Giant Simply Steam line but the page does not say Simply Steam</t>
  </si>
  <si>
    <t xml:space="preserve">https://smartlabel.labelinsight.com/id/12230840/other/instructions https://smartlabel.labelinsight.com/id/12230840/nutrition</t>
  </si>
  <si>
    <t xml:space="preserve">zw-324</t>
  </si>
  <si>
    <t xml:space="preserve">Green Bean Casserole (boxed, microwavable pouch)</t>
  </si>
  <si>
    <t xml:space="preserve">190569522317</t>
  </si>
  <si>
    <t xml:space="preserve">Chart goes down to 700 W; label says adjust for your microwave.</t>
  </si>
  <si>
    <t xml:space="preserve">Do not cut slit in pouch | Do not leave microwave unattended | Do not thaw</t>
  </si>
  <si>
    <t xml:space="preserve">Stackable freezer box with a microwavable pouch inside. Material not stated.</t>
  </si>
  <si>
    <t xml:space="preserve">servings per container is 'about 2' | line name not shown on SmartLabel</t>
  </si>
  <si>
    <t xml:space="preserve">https://smartlabel.labelinsight.com/id/12230841/other/instructions https://smartlabel.labelinsight.com/id/12230841/nutrition</t>
  </si>
  <si>
    <t xml:space="preserve">zw-325</t>
  </si>
  <si>
    <t xml:space="preserve">Simply Steam Antioxidant Blend Lightly Sauced (Broccoli, Carrots &amp; Sweet Peppers)</t>
  </si>
  <si>
    <t xml:space="preserve">190569537793</t>
  </si>
  <si>
    <t xml:space="preserve">Chart goes down to 700 W.</t>
  </si>
  <si>
    <t xml:space="preserve">Do not cut slit in pouch | Do not thaw | Do not heat pouch in boiling water (stovetop)</t>
  </si>
  <si>
    <t xml:space="preserve">Easy-to-stack box with a microwavable pouch inside. Material not stated.</t>
  </si>
  <si>
    <t xml:space="preserve">marked partial because the 1000 W row is garbled in the only transcription found; photograph the box | servings 'about 2' from Instacart; ShopRite and Wegmans do not list servings | Wegmans copy says 3-5 min on high with no wattage</t>
  </si>
  <si>
    <t xml:space="preserve">https://delivery.publix.com/store/publix/products/27827063-green-giant-simply-steam-antioxidant-blend-lightly-sauced-frozen-vegetables-7-oz https://www.shoprite.com/sm/pickup/rsid/286/product/green-giant-simply-steam-sauced-veggies-antioxidant-blend-7-oz-id-00190569537793 https://www.wegmans.com/shop/product/888910</t>
  </si>
  <si>
    <t xml:space="preserve">zw-401</t>
  </si>
  <si>
    <t xml:space="preserve">Trader Joe's</t>
  </si>
  <si>
    <t xml:space="preserve">Beef Bulgogi</t>
  </si>
  <si>
    <t xml:space="preserve">00752831</t>
  </si>
  <si>
    <t xml:space="preserve">Black tray with microwave (and stovetop) directions only; no resin code in the photos. Black CPET and black PP are both sold [S71, S74], so the colour does not decide it. Photograph the bottom of the tray.</t>
  </si>
  <si>
    <t xml:space="preserve">Label: 'Microwave heat times may vary depending on oven wattage.'</t>
  </si>
  <si>
    <t xml:space="preserve">Stovetop: pan with 2 Tbsp oil over medium-low, cook and stir until 165°F.</t>
  </si>
  <si>
    <t xml:space="preserve">Black plastic tray with sealed film, cooked in the tray. No resin code visible in the photos.</t>
  </si>
  <si>
    <t xml:space="preserve">label photographed 2026-10-14 (Trader Joe's)</t>
  </si>
  <si>
    <t xml:space="preserve">photo:photos/products/zw-401/front.jpg photo:photos/products/zw-401/back.jpg photo:photos/products/zw-401/side.jpg</t>
  </si>
  <si>
    <t xml:space="preserve">zw-402</t>
  </si>
  <si>
    <t xml:space="preserve">Spicy Chicken Nuggets</t>
  </si>
  <si>
    <t xml:space="preserve">00782227</t>
  </si>
  <si>
    <t xml:space="preserve">Label says to heat the nuggets on a microwave-safe plate.</t>
  </si>
  <si>
    <t xml:space="preserve">Oven 425°F on an oiled baking sheet 10-12 min, flip halfway, stand 2-3 min. Air fryer 6-8 min.</t>
  </si>
  <si>
    <t xml:space="preserve">Nuggets are moved to a plate; the black tray is not heated.</t>
  </si>
  <si>
    <t xml:space="preserve">label photographed 2026-10-14 (Trader Joe's) | Label time (50 s) is for one layer of nuggets on a plate; one serving (4 pieces, 79 g) is taken as the portion.</t>
  </si>
  <si>
    <t xml:space="preserve">photo:photos/products/zw-402/front.jpg photo:photos/products/zw-402/back.jpg</t>
  </si>
  <si>
    <t xml:space="preserve">zw-403</t>
  </si>
  <si>
    <t xml:space="preserve">Factor</t>
  </si>
  <si>
    <t xml:space="preserve">Smoky Gouda Chicken with Potatoes &amp; Parmesan Green Beans</t>
  </si>
  <si>
    <t xml:space="preserve">810158942295</t>
  </si>
  <si>
    <t xml:space="preserve">chilled_tray</t>
  </si>
  <si>
    <t xml:space="preserve">Microwave-only black tray; a resin triangle is moulded on the bottom but the digit is not legible in the photo.</t>
  </si>
  <si>
    <t xml:space="preserve">Label: 'Cooking times may vary.' No wattage given.</t>
  </si>
  <si>
    <t xml:space="preserve">Black plastic tray with film in a paper sleeve; resin triangle moulded on the bottom, digit not legible in the photo. Sleeve says BPA free, PFAS free.</t>
  </si>
  <si>
    <t xml:space="preserve">label photographed 2026-10-14 (Target)</t>
  </si>
  <si>
    <t xml:space="preserve">photo:photos/products/zw-403/front.jpg photo:photos/products/zw-403/side.jpg photo:photos/products/zw-403/back.jpg</t>
  </si>
  <si>
    <t xml:space="preserve">zw-404</t>
  </si>
  <si>
    <t xml:space="preserve">Market Pantry</t>
  </si>
  <si>
    <t xml:space="preserve">Extra Butter Microwave Popcorn, 6 bags</t>
  </si>
  <si>
    <t xml:space="preserve">085239113509</t>
  </si>
  <si>
    <t xml:space="preserve">Directions are printed on the bag; not photographed.</t>
  </si>
  <si>
    <t xml:space="preserve">Microwave popcorn bags (6 x 2.9 oz) in a carton.</t>
  </si>
  <si>
    <t xml:space="preserve">photo:photos/products/zw-404/front.jpg photo:photos/products/zw-404/side.jpg photo:photos/products/zw-404/front2.jpg photo:photos/products/zw-404/nutrition.jpg</t>
  </si>
  <si>
    <t xml:space="preserve">zw-405</t>
  </si>
  <si>
    <t xml:space="preserve">SkinnyPop</t>
  </si>
  <si>
    <t xml:space="preserve">Butter Microwave Popcorn, 6 bags</t>
  </si>
  <si>
    <t xml:space="preserve">816925023587</t>
  </si>
  <si>
    <t xml:space="preserve">Do not cook in a traditional oven</t>
  </si>
  <si>
    <t xml:space="preserve">Microwave popcorn bags (6 x 2.8 oz) in a carton.</t>
  </si>
  <si>
    <t xml:space="preserve">photo:photos/products/zw-405/front.jpg photo:photos/products/zw-405/side.jpg photo:photos/products/zw-405/nutrition.jpg</t>
  </si>
  <si>
    <t xml:space="preserve">zw-406</t>
  </si>
  <si>
    <t xml:space="preserve">Tortilla Española (Spanish omelet with potatoes and onions)</t>
  </si>
  <si>
    <t xml:space="preserve">00757560</t>
  </si>
  <si>
    <t xml:space="preserve">White microwave tray with no oven directions; moulded rim text not legible.</t>
  </si>
  <si>
    <t xml:space="preserve">Stovetop: 1 Tbsp oil in a non-stick pan over medium heat, covered, 8-9 min per side.</t>
  </si>
  <si>
    <t xml:space="preserve">White round plastic tray with film and a paper band; moulded text on the rim not legible.</t>
  </si>
  <si>
    <t xml:space="preserve">label photographed 2026-10-14 (Trader Joe's) | product of Spain</t>
  </si>
  <si>
    <t xml:space="preserve">photo:photos/products/zw-406/front.jpg photo:photos/products/zw-406/lid.jpg</t>
  </si>
  <si>
    <t xml:space="preserve">zw-407</t>
  </si>
  <si>
    <t xml:space="preserve">Carne Asada Burritos</t>
  </si>
  <si>
    <t xml:space="preserve">00699983</t>
  </si>
  <si>
    <t xml:space="preserve">Label says to unwrap the burrito and heat it on a microwave-safe plate.</t>
  </si>
  <si>
    <t xml:space="preserve">Label: 'Microwave heat times may vary depending on oven wattage.' Two burritos: 4-5 min.</t>
  </si>
  <si>
    <t xml:space="preserve">Oven 450°F wrapped in foil on a baking sheet, about 20 min, to 165°F.</t>
  </si>
  <si>
    <t xml:space="preserve">Burritos are unwrapped and heated on a plate; the clear tray is not heated.</t>
  </si>
  <si>
    <t xml:space="preserve">label photographed 2026-10-14 (Trader Joe's) | Label time is for one burrito (198 g) on a plate.</t>
  </si>
  <si>
    <t xml:space="preserve">photo:photos/products/zw-407/front.jpg photo:photos/products/zw-407/tray.jpg</t>
  </si>
  <si>
    <t xml:space="preserve">zw-408</t>
  </si>
  <si>
    <t xml:space="preserve">Chicken Mole (dark meat chicken in a smoky and savory chile blend sauce)</t>
  </si>
  <si>
    <t xml:space="preserve">00798631</t>
  </si>
  <si>
    <t xml:space="preserve">Stovetop: nonstick skillet over medium heat, covered, 3 min, stir, 2-4 min more.</t>
  </si>
  <si>
    <t xml:space="preserve">Dark plastic tray with film in a sleeve; microwave and stovetop directions only.</t>
  </si>
  <si>
    <t xml:space="preserve">photo:photos/products/zw-408/front.jpg photo:photos/products/zw-408/back.jpg</t>
  </si>
  <si>
    <t xml:space="preserve">zw-409</t>
  </si>
  <si>
    <t xml:space="preserve">Beef Birria (slow cooked beef in a savory tomato &amp; chile sauce)</t>
  </si>
  <si>
    <t xml:space="preserve">00726207</t>
  </si>
  <si>
    <t xml:space="preserve">Stovetop: thaw overnight, pour contents into a pot and bring to a boil over medium heat.</t>
  </si>
  <si>
    <t xml:space="preserve">Black plastic tray with film in a sleeve; microwave and stovetop directions only.</t>
  </si>
  <si>
    <t xml:space="preserve">photo:photos/products/zw-409/front.jpg photo:photos/products/zw-409/back.jpg</t>
  </si>
  <si>
    <t xml:space="preserve">zw-410</t>
  </si>
  <si>
    <t xml:space="preserve">Grilled Chicken Rice &amp; Veggies Meal</t>
  </si>
  <si>
    <t xml:space="preserve">00684699</t>
  </si>
  <si>
    <t xml:space="preserve">Black base heated with the clear lid on, as the label says. Neither part shows a resin code in the photos.</t>
  </si>
  <si>
    <t xml:space="preserve">Black plastic base with a clear plastic lid; the label says to heat with the lid on.</t>
  </si>
  <si>
    <t xml:space="preserve">label photographed 2026-10-14 (Trader Joe's) | heated with a clear plastic lid on (lid not modelled)</t>
  </si>
  <si>
    <t xml:space="preserve">photo:photos/products/zw-410/front.jpg photo:photos/products/zw-410/side.jpg photo:photos/products/zw-410/back.jpg</t>
  </si>
  <si>
    <t xml:space="preserve">zw-411</t>
  </si>
  <si>
    <t xml:space="preserve">Just Chicken (cooked chicken breast, extra virgin olive oil, salt &amp; pepper)</t>
  </si>
  <si>
    <t xml:space="preserve">00430203</t>
  </si>
  <si>
    <t xml:space="preserve">Black plastic tray with film; mould number 222001-11 on the rim, no resin code visible.</t>
  </si>
  <si>
    <t xml:space="preserve">photo:photos/products/zw-411/front.jpg photo:photos/products/zw-411/back.jpg</t>
  </si>
  <si>
    <t xml:space="preserve">zw-412</t>
  </si>
  <si>
    <t xml:space="preserve">Roasted Rosemary Boneless Chicken Breast with a Brown &amp; Wild Rice Blend</t>
  </si>
  <si>
    <t xml:space="preserve">00161886</t>
  </si>
  <si>
    <t xml:space="preserve">photo</t>
  </si>
  <si>
    <t xml:space="preserve">Resin code 1 PET moulded on the bottom of the black tray (student photo), and the label sends the same tray into a 350 F oven.</t>
  </si>
  <si>
    <t xml:space="preserve">Conventional oven (preferred): 350°F, lift one corner of film, tray on a baking sheet, 20-25 min to 160°F.</t>
  </si>
  <si>
    <t xml:space="preserve">Black tray with film; moulded resin code 1 PET on the bottom, and the same tray goes into a 350°F oven.</t>
  </si>
  <si>
    <t xml:space="preserve">photo:photos/products/zw-412/front.jpg photo:photos/products/zw-412/bottom.jpg</t>
  </si>
  <si>
    <t xml:space="preserve">zw-413</t>
  </si>
  <si>
    <t xml:space="preserve">Meat Lasagna</t>
  </si>
  <si>
    <t xml:space="preserve">00429818</t>
  </si>
  <si>
    <t xml:space="preserve">The oven directions use the same black tray under foil.</t>
  </si>
  <si>
    <t xml:space="preserve">Oven: remove film, cover tray with foil, on a baking sheet, 25-30 min to 160°F, stand 2 min.</t>
  </si>
  <si>
    <t xml:space="preserve">Black tray with film; the oven directions use the same tray under foil.</t>
  </si>
  <si>
    <t xml:space="preserve">label photographed 2026-10-14 (Trader Joe's) | servings from calories per container (1000) / per serving (390)</t>
  </si>
  <si>
    <t xml:space="preserve">photo:photos/products/zw-413/front.jpg photo:photos/products/zw-413/back.jpg</t>
  </si>
  <si>
    <t xml:space="preserve">zw-414</t>
  </si>
  <si>
    <t xml:space="preserve">Good &amp; Gather</t>
  </si>
  <si>
    <t xml:space="preserve">Yukon Gold Mashed Potatoes</t>
  </si>
  <si>
    <t xml:space="preserve">085239047712</t>
  </si>
  <si>
    <t xml:space="preserve">Label: 'Microwave ovens may vary; adjust heating times accordingly.' No wattage given.</t>
  </si>
  <si>
    <t xml:space="preserve">Black plastic tray with film in a paper sleeve; microwave directions only.</t>
  </si>
  <si>
    <t xml:space="preserve">photo:photos/products/zw-414/front.jpg photo:photos/products/zw-414/side.jpg photo:photos/products/zw-414/back.jpg</t>
  </si>
  <si>
    <t xml:space="preserve">zw-415</t>
  </si>
  <si>
    <t xml:space="preserve">Cavatappi Pesto Pasta with Diced Grilled Chicken Breast</t>
  </si>
  <si>
    <t xml:space="preserve">Clear tray heated in the microwave; clear PP and clear PET look alike. Photograph the resin code.</t>
  </si>
  <si>
    <t xml:space="preserve">Label: 'Appliances may vary; adjust accordingly.' No wattage given.</t>
  </si>
  <si>
    <t xml:space="preserve">Clear plastic tray in a paper sleeve; heated in the tray under a paper towel. Resin code not photographed.</t>
  </si>
  <si>
    <t xml:space="preserve">label photographed 2026-10-14 (Target) | barcode not captured in the photos</t>
  </si>
  <si>
    <t xml:space="preserve">photo:photos/products/zw-415/front.jpg photo:photos/products/zw-415/back.jpg</t>
  </si>
  <si>
    <t xml:space="preserve">zw-416</t>
  </si>
  <si>
    <t xml:space="preserve">Three Cheese Chicken Meatballs</t>
  </si>
  <si>
    <t xml:space="preserve">085239189412</t>
  </si>
  <si>
    <t xml:space="preserve">Clear plastic tray in a paper carton; resin code not photographed.</t>
  </si>
  <si>
    <t xml:space="preserve">photo:photos/products/zw-416/front.jpg photo:photos/products/zw-416/nutrition.jpg photo:photos/products/zw-416/side.jpg</t>
  </si>
  <si>
    <t xml:space="preserve">zw-417</t>
  </si>
  <si>
    <t xml:space="preserve">Sea Cuisine</t>
  </si>
  <si>
    <t xml:space="preserve">Garlic &amp; Herb Tilapia</t>
  </si>
  <si>
    <t xml:space="preserve">035493014685</t>
  </si>
  <si>
    <t xml:space="preserve">Fillets are cooked out of the tray in an oven pan or skillet.</t>
  </si>
  <si>
    <t xml:space="preserve">No microwave directions on the label</t>
  </si>
  <si>
    <t xml:space="preserve">Oven 400°F, frozen fillets in a single layer on a shallow pan, 18-20 min. Skillet: medium-high, 10-11 min, turn halfway.</t>
  </si>
  <si>
    <t xml:space="preserve">Black tray with film in a paper band; the fillets are cooked out of the tray.</t>
  </si>
  <si>
    <t xml:space="preserve">label photographed 2026-10-14 (Safeway/Albertsons)</t>
  </si>
  <si>
    <t xml:space="preserve">photo:photos/products/zw-417/front.jpg photo:photos/products/zw-417/back.jpg photo:photos/products/zw-417/directions.jpg photo:photos/products/zw-417/nutrition.jpg</t>
  </si>
  <si>
    <t xml:space="preserve">zw-418</t>
  </si>
  <si>
    <t xml:space="preserve">Cafe Spice</t>
  </si>
  <si>
    <t xml:space="preserve">Chicken Tikka Masala with Basmati Saffron Rice</t>
  </si>
  <si>
    <t xml:space="preserve">825120004017</t>
  </si>
  <si>
    <t xml:space="preserve">Translucent two-compartment microwave tray; resin code not photographed.</t>
  </si>
  <si>
    <t xml:space="preserve">Label: 'Cook times vary depending on equipment.' No wattage given.</t>
  </si>
  <si>
    <t xml:space="preserve">Translucent two-compartment plastic tray with film; heated in the tray. Resin code not photographed.</t>
  </si>
  <si>
    <t xml:space="preserve">photo:photos/products/zw-418/front.jpg photo:photos/products/zw-418/back.jpg</t>
  </si>
  <si>
    <t xml:space="preserve">zw-419</t>
  </si>
  <si>
    <t xml:space="preserve">Ready Pearls</t>
  </si>
  <si>
    <t xml:space="preserve">BBQ Steamed Pork Bun, 4 count (store-packed)</t>
  </si>
  <si>
    <t xml:space="preserve">210703509995</t>
  </si>
  <si>
    <t xml:space="preserve">Anchor Packaging base moulded MICROWAVE SAFE and 5 PP (student photo); the clear lid comes off before heating.</t>
  </si>
  <si>
    <t xml:space="preserve">Label: 'Microwave times may vary.' No wattage given.</t>
  </si>
  <si>
    <t xml:space="preserve">Anchor Packaging base moulded MICROWAVE SAFE with resin code 5 PP; clear lid removed before heating.</t>
  </si>
  <si>
    <t xml:space="preserve">label photographed 2026-10-14 (Safeway/Albertsons) | random-weight store barcode (price embedded)</t>
  </si>
  <si>
    <t xml:space="preserve">photo:photos/products/zw-419/front.jpg photo:photos/products/zw-419/label1.jpg photo:photos/products/zw-419/label2.jpg photo:photos/products/zw-419/label3.jpg photo:photos/products/zw-419/base.jpg</t>
  </si>
  <si>
    <t xml:space="preserve">zw-420</t>
  </si>
  <si>
    <t xml:space="preserve">Yummi Sushi</t>
  </si>
  <si>
    <t xml:space="preserve">Mongolian Chicken Hot Bowl with White Rice (store-packed)</t>
  </si>
  <si>
    <t xml:space="preserve">850075064502</t>
  </si>
  <si>
    <t xml:space="preserve">Red bowl with a clear lid; no heating directions and no resin code in the photos.</t>
  </si>
  <si>
    <t xml:space="preserve">No heating directions on the label (sold hot).</t>
  </si>
  <si>
    <t xml:space="preserve">Red plastic bowl with clear lid; resin code not photographed.</t>
  </si>
  <si>
    <t xml:space="preserve">label photographed 2026-10-14 (Safeway/Albertsons) | label nutrition (165 kcal, 0 g fat for 329 g) looks incomplete; recheck</t>
  </si>
  <si>
    <t xml:space="preserve">photo:photos/products/zw-420/label.jpg photo:photos/products/zw-420/front.jpg</t>
  </si>
  <si>
    <t xml:space="preserve">zw-421</t>
  </si>
  <si>
    <t xml:space="preserve">Albertsons</t>
  </si>
  <si>
    <t xml:space="preserve">Signature Cafe Half Rack Sweet Savory Sauce Ribs (hot case)</t>
  </si>
  <si>
    <t xml:space="preserve">218842010990</t>
  </si>
  <si>
    <t xml:space="preserve">Anchor hot-case base moulded MICROWAVE SAFE; resin code not photographed.</t>
  </si>
  <si>
    <t xml:space="preserve">Anchor Packaging base (moulded MICROWAVE SAFE) with clear lid; resin code not photographed.</t>
  </si>
  <si>
    <t xml:space="preserve">photo:photos/products/zw-421/front.jpg</t>
  </si>
  <si>
    <t xml:space="preserve">zw-422</t>
  </si>
  <si>
    <t xml:space="preserve">Signature Homestyle Meatloaf (hot case)</t>
  </si>
  <si>
    <t xml:space="preserve">218190010994</t>
  </si>
  <si>
    <t xml:space="preserve">Hot-case container; base not photographed.</t>
  </si>
  <si>
    <t xml:space="preserve">Clear-lid hot-case container; base material not photographed.</t>
  </si>
  <si>
    <t xml:space="preserve">photo:photos/products/zw-422/front.jpg photo:photos/products/zw-422/label.jpg photo:photos/products/zw-422/side.jpg</t>
  </si>
  <si>
    <t xml:space="preserve">zw-423</t>
  </si>
  <si>
    <t xml:space="preserve">ReadyMeals</t>
  </si>
  <si>
    <t xml:space="preserve">Chicken Piccata with Capellini Pasta</t>
  </si>
  <si>
    <t xml:space="preserve">030223037941</t>
  </si>
  <si>
    <t xml:space="preserve">Resin code 5 PP moulded on the white tray (student photo); the clear lid is moulded REMOVE LID BEFORE MICROWAVING.</t>
  </si>
  <si>
    <t xml:space="preserve">Label: 'The power of microwave ovens varies. You may have to adjust cooking time.' No wattage given.</t>
  </si>
  <si>
    <t xml:space="preserve">White tray moulded with resin code 5 PP; clear lid moulded REMOVE LID BEFORE MICROWAVING.</t>
  </si>
  <si>
    <t xml:space="preserve">photo:photos/products/zw-423/front.jpg photo:photos/products/zw-423/back.jpg</t>
  </si>
  <si>
    <t xml:space="preserve">zw-424</t>
  </si>
  <si>
    <t xml:space="preserve">Chicken &amp; Teriyaki Sauce with Rice</t>
  </si>
  <si>
    <t xml:space="preserve">021130100927</t>
  </si>
  <si>
    <t xml:space="preserve">photo:photos/products/zw-424/front.jpg photo:photos/products/zw-424/back.jpg</t>
  </si>
  <si>
    <t xml:space="preserve">zw-425</t>
  </si>
  <si>
    <t xml:space="preserve">Ziti with Italian Style Pork Sausage</t>
  </si>
  <si>
    <t xml:space="preserve">030223076865</t>
  </si>
  <si>
    <t xml:space="preserve">photo:photos/products/zw-425/front.jpg photo:photos/products/zw-425/side.jpg photo:photos/products/zw-425/back.jpg</t>
  </si>
  <si>
    <t xml:space="preserve">zw-426</t>
  </si>
  <si>
    <t xml:space="preserve">Home Menu Mini Chicken Egg Rolls</t>
  </si>
  <si>
    <t xml:space="preserve">031000700041</t>
  </si>
  <si>
    <t xml:space="preserve">Label says to heat 4 egg rolls on a small microwave-safe plate.</t>
  </si>
  <si>
    <t xml:space="preserve">Label: directions developed with 1100-watt microwave ovens; appliances vary.</t>
  </si>
  <si>
    <t xml:space="preserve">Signature sauce packet: do not microwave</t>
  </si>
  <si>
    <t xml:space="preserve">Air fryer 400°F 7-9 min; oven 425°F 12-14 min on a baking sheet.</t>
  </si>
  <si>
    <t xml:space="preserve">Egg rolls are moved to a plate; carton with an inner wrap.</t>
  </si>
  <si>
    <t xml:space="preserve">label photographed 2026-10-14 (Safeway/Albertsons) | Label time is for 4 egg rolls plus sauce (125 g) on a plate.</t>
  </si>
  <si>
    <t xml:space="preserve">photo:photos/products/zw-426/front.jpg photo:photos/products/zw-426/side.jpg photo:photos/products/zw-426/back.jpg photo:photos/products/zw-426/side2.jpg</t>
  </si>
  <si>
    <t xml:space="preserve">Product ID</t>
  </si>
  <si>
    <t xml:space="preserve">Step</t>
  </si>
  <si>
    <t xml:space="preserve">Kind</t>
  </si>
  <si>
    <t xml:space="preserve">Label text (paraphrased)</t>
  </si>
  <si>
    <t xml:space="preserve">Time (s)</t>
  </si>
  <si>
    <t xml:space="preserve">Time max (s)</t>
  </si>
  <si>
    <t xml:space="preserve">cook</t>
  </si>
  <si>
    <t xml:space="preserve">cook on HIGH, no need to vent film</t>
  </si>
  <si>
    <t xml:space="preserve">action</t>
  </si>
  <si>
    <t xml:space="preserve">stir and replace film</t>
  </si>
  <si>
    <t xml:space="preserve">cook on HIGH</t>
  </si>
  <si>
    <t xml:space="preserve">check food is cooked thoroughly (165°F)</t>
  </si>
  <si>
    <t xml:space="preserve">stand</t>
  </si>
  <si>
    <t xml:space="preserve">rotate chicken, stir sauce into rice, replace film</t>
  </si>
  <si>
    <t xml:space="preserve">stir and re-cover</t>
  </si>
  <si>
    <t xml:space="preserve">check food is cooked thoroughly (165°F), remove carefully</t>
  </si>
  <si>
    <t xml:space="preserve">peel back one corner of film to vent</t>
  </si>
  <si>
    <t xml:space="preserve">stand, then stir</t>
  </si>
  <si>
    <t xml:space="preserve">leave film on, do not vent</t>
  </si>
  <si>
    <t xml:space="preserve">cook frozen meal in microwave</t>
  </si>
  <si>
    <t xml:space="preserve">cut film to vent</t>
  </si>
  <si>
    <t xml:space="preserve">stand (165°F internal)</t>
  </si>
  <si>
    <t xml:space="preserve">remove film from dessert compartment</t>
  </si>
  <si>
    <t xml:space="preserve">slit film over chicken and ham</t>
  </si>
  <si>
    <t xml:space="preserve">stir potatoes, rearrange ham, re-cover</t>
  </si>
  <si>
    <t xml:space="preserve">stand, then stir potatoes</t>
  </si>
  <si>
    <t xml:space="preserve">stand in microwave</t>
  </si>
  <si>
    <t xml:space="preserve">check food is hot throughout (165°F), stir</t>
  </si>
  <si>
    <t xml:space="preserve">microwave</t>
  </si>
  <si>
    <t xml:space="preserve">stir steamed food into sauce bowl</t>
  </si>
  <si>
    <t xml:space="preserve">check food is cooked thoroughly</t>
  </si>
  <si>
    <t xml:space="preserve">open carton at push tab, tear off top completely; cook in carton</t>
  </si>
  <si>
    <t xml:space="preserve">optional: slit top crust for softer crust</t>
  </si>
  <si>
    <t xml:space="preserve">stand to finish cooking</t>
  </si>
  <si>
    <t xml:space="preserve">slit top crust</t>
  </si>
  <si>
    <t xml:space="preserve">add water to fill line in cup</t>
  </si>
  <si>
    <t xml:space="preserve">stir in cheese sauce mix</t>
  </si>
  <si>
    <t xml:space="preserve">add water to fill line (details on lid)</t>
  </si>
  <si>
    <t xml:space="preserve">remove plastic cap, peel off and discard cover, replace plastic cap</t>
  </si>
  <si>
    <t xml:space="preserve">leave in microwave to stand</t>
  </si>
  <si>
    <t xml:space="preserve">optional: heat longer for warmer soup</t>
  </si>
  <si>
    <t xml:space="preserve">hold bowl by sides, stir</t>
  </si>
  <si>
    <t xml:space="preserve">puncture film in several places or peel back about 1/4 inch</t>
  </si>
  <si>
    <t xml:space="preserve">heat on HIGH or until hot</t>
  </si>
  <si>
    <t xml:space="preserve">optional stand</t>
  </si>
  <si>
    <t xml:space="preserve">peel film back carefully</t>
  </si>
  <si>
    <t xml:space="preserve">place frozen bag flat, 'this side up' facing up; do not puncture; remove metal rack</t>
  </si>
  <si>
    <t xml:space="preserve">cook on HIGH for wattage-specific time (see variants)</t>
  </si>
  <si>
    <t xml:space="preserve">hold by blue corner tabs, tear at notch, pour, stir</t>
  </si>
  <si>
    <t xml:space="preserve">place frozen bag flat, 'this side up' facing up; do not pierce; remove metal rack</t>
  </si>
  <si>
    <t xml:space="preserve">cook on HIGH (bag puffs, vent may whistle)</t>
  </si>
  <si>
    <t xml:space="preserve">lift by marked corners, tear at notch, pour, stir</t>
  </si>
  <si>
    <t xml:space="preserve">place unopened bag standing up in center of microwave</t>
  </si>
  <si>
    <t xml:space="preserve">cook on HIGH until hot</t>
  </si>
  <si>
    <t xml:space="preserve">remove bag carefully</t>
  </si>
  <si>
    <t xml:space="preserve">place unopened bag standing up on a microwavable dinner plate</t>
  </si>
  <si>
    <t xml:space="preserve">remove plate and bag, tear at notch, empty into dish, stir</t>
  </si>
  <si>
    <t xml:space="preserve">microwave pouch</t>
  </si>
  <si>
    <t xml:space="preserve">Quick-Bake only: preheat oven to 375°F</t>
  </si>
  <si>
    <t xml:space="preserve">microwave on HIGH (partial cook)</t>
  </si>
  <si>
    <t xml:space="preserve">oven</t>
  </si>
  <si>
    <t xml:space="preserve">peel back film corner, transfer to baking sheet, finish in oven</t>
  </si>
  <si>
    <t xml:space="preserve">check food is cooked thoroughly (165°F), stand</t>
  </si>
  <si>
    <t xml:space="preserve">check food is cooked thoroughly (165°F), stir</t>
  </si>
  <si>
    <t xml:space="preserve">cut and remove film from dessert compartment</t>
  </si>
  <si>
    <t xml:space="preserve">slit film to vent</t>
  </si>
  <si>
    <t xml:space="preserve">stir macaroni and cheese, replace film</t>
  </si>
  <si>
    <t xml:space="preserve">check food is cooked thoroughly, stir</t>
  </si>
  <si>
    <t xml:space="preserve">cook one meal on HIGH, no need to vent film</t>
  </si>
  <si>
    <t xml:space="preserve">rotate chicken clockwise one half turn, re-cover</t>
  </si>
  <si>
    <t xml:space="preserve">stir potatoes and re-cover</t>
  </si>
  <si>
    <t xml:space="preserve">stand, then stir potatoes and corn</t>
  </si>
  <si>
    <t xml:space="preserve">remove film from dessert, slit film over chicken</t>
  </si>
  <si>
    <t xml:space="preserve">flip meatloaf patty, stir mashed potatoes, re-cover</t>
  </si>
  <si>
    <t xml:space="preserve">place one rice pouch in microwave seam side up; do not puncture (self-venting)</t>
  </si>
  <si>
    <t xml:space="preserve">cook on HIGH; bag inflates</t>
  </si>
  <si>
    <t xml:space="preserve">stand, then serve</t>
  </si>
  <si>
    <t xml:space="preserve">place bag THIS SIDE UP, lay flat; do not puncture (self-venting)</t>
  </si>
  <si>
    <t xml:space="preserve">place frozen unopened bag flat, this side up; do not pierce; remove metal rack</t>
  </si>
  <si>
    <t xml:space="preserve">lift by marked corners with two hands, tear at notch over dish, pour and stir</t>
  </si>
  <si>
    <t xml:space="preserve">place one frozen unopened bag flat, this side up; do not pierce; remove metal rack</t>
  </si>
  <si>
    <t xml:space="preserve">stand (label: stand time is important for food safety)</t>
  </si>
  <si>
    <t xml:space="preserve">lift by blue-tab corners with two hands, tear at notch over dish, pour and stir</t>
  </si>
  <si>
    <t xml:space="preserve">remove one bag; place frozen unopened bag flat, this side up; do not pierce; remove metal rack</t>
  </si>
  <si>
    <t xml:space="preserve">cook one bag on HIGH (do not use popcorn button)</t>
  </si>
  <si>
    <t xml:space="preserve">stop when popping slows</t>
  </si>
  <si>
    <t xml:space="preserve">open bag carefully by top corners, away from face</t>
  </si>
  <si>
    <t xml:space="preserve">pour into bowl; knead topping pouch, tear at perforation, drizzle and mix</t>
  </si>
  <si>
    <t xml:space="preserve">listen; stop microwave when popping slows</t>
  </si>
  <si>
    <t xml:space="preserve">remove plate and bag carefully, tear at notch, empty into dish, stir</t>
  </si>
  <si>
    <t xml:space="preserve">unwrap sandwich, load into crisping sleeve, place on paper plate</t>
  </si>
  <si>
    <t xml:space="preserve">cook on HIGH (1 sandwich, 1100 W)</t>
  </si>
  <si>
    <t xml:space="preserve">let sit to complete cooking</t>
  </si>
  <si>
    <t xml:space="preserve">unwrap sandwich, load into crisping sleeve, place on microwave-safe plate</t>
  </si>
  <si>
    <t xml:space="preserve">cook on HIGH (1 sandwich)</t>
  </si>
  <si>
    <t xml:space="preserve">unwrap sandwich, place on microwave-safe plate</t>
  </si>
  <si>
    <t xml:space="preserve">remove film</t>
  </si>
  <si>
    <t xml:space="preserve">cook at 50% power</t>
  </si>
  <si>
    <t xml:space="preserve">remove pizza from box and wrap, pour loose toppings onto pizza</t>
  </si>
  <si>
    <t xml:space="preserve">place on microwave-safe plate, cook on HIGH (1 pizza)</t>
  </si>
  <si>
    <t xml:space="preserve">move to baking sheet, bake in preheated 425°F oven (1 pizza)</t>
  </si>
  <si>
    <t xml:space="preserve">remove lid and cheese sauce pouch</t>
  </si>
  <si>
    <t xml:space="preserve">add water to fill line in cup, stir</t>
  </si>
  <si>
    <t xml:space="preserve">microwave uncovered on HIGH, do not drain</t>
  </si>
  <si>
    <t xml:space="preserve">stir in cheese sauce pouch</t>
  </si>
  <si>
    <t xml:space="preserve">remove lid and cheese sauce mix</t>
  </si>
  <si>
    <t xml:space="preserve">remove lid and cheese packet (loose white powder in cup is for cooking)</t>
  </si>
  <si>
    <t xml:space="preserve">add cold water to fill line, stir</t>
  </si>
  <si>
    <t xml:space="preserve">microwave on HIGH</t>
  </si>
  <si>
    <t xml:space="preserve">stir in cheese packet</t>
  </si>
  <si>
    <t xml:space="preserve">remove lid and cheese sauce packet (loose white powder in cup is for cooking)</t>
  </si>
  <si>
    <t xml:space="preserve">stir</t>
  </si>
  <si>
    <t xml:space="preserve">microwave on HIGH again</t>
  </si>
  <si>
    <t xml:space="preserve">stir in cheese sauce packet</t>
  </si>
  <si>
    <t xml:space="preserve">vent tray</t>
  </si>
  <si>
    <t xml:space="preserve">remove film carefully</t>
  </si>
  <si>
    <t xml:space="preserve">grasp bowl by sides, stir</t>
  </si>
  <si>
    <t xml:space="preserve">optional: heat longer if needed</t>
  </si>
  <si>
    <t xml:space="preserve">make a 1-inch slit in overwrap</t>
  </si>
  <si>
    <t xml:space="preserve">let sit</t>
  </si>
  <si>
    <t xml:space="preserve">cook on MEDIUM</t>
  </si>
  <si>
    <t xml:space="preserve">remove overwrap, stir beans</t>
  </si>
  <si>
    <t xml:space="preserve">remove from carton, puncture film</t>
  </si>
  <si>
    <t xml:space="preserve">peel back film, stir, replace film</t>
  </si>
  <si>
    <t xml:space="preserve">microwave on HIGH until thoroughly cooked</t>
  </si>
  <si>
    <t xml:space="preserve">stand (165°F internal, checked in several spots)</t>
  </si>
  <si>
    <t xml:space="preserve">remove wrapper, wrap sandwich in paper towel</t>
  </si>
  <si>
    <t xml:space="preserve">defrost at 30% power</t>
  </si>
  <si>
    <t xml:space="preserve">turn sandwich over</t>
  </si>
  <si>
    <t xml:space="preserve">microwave on HIGH until hot</t>
  </si>
  <si>
    <t xml:space="preserve">place 1 frozen burrito on microwave-safe plate</t>
  </si>
  <si>
    <t xml:space="preserve">microwave on HIGH (1100 W)</t>
  </si>
  <si>
    <t xml:space="preserve">arrange frozen pieces on microwave-safe plate</t>
  </si>
  <si>
    <t xml:space="preserve">microwave on HIGH (3 pieces)</t>
  </si>
  <si>
    <t xml:space="preserve">remove tray from carton, pull back corner of film to vent</t>
  </si>
  <si>
    <t xml:space="preserve">pull back film, stir, replace film</t>
  </si>
  <si>
    <t xml:space="preserve">stand in microwave (165°F internal)</t>
  </si>
  <si>
    <t xml:space="preserve">squeeze pouch to separate rice</t>
  </si>
  <si>
    <t xml:space="preserve">tear 2 inches to vent</t>
  </si>
  <si>
    <t xml:space="preserve">microwave 1 pouch (2 pouches: 2 1/2 min)</t>
  </si>
  <si>
    <t xml:space="preserve">remove using cool-touch area on untorn side</t>
  </si>
  <si>
    <t xml:space="preserve">remove film completely from cup</t>
  </si>
  <si>
    <t xml:space="preserve">heat 1 cup on HIGH (2 cups: 1 1/2 min)</t>
  </si>
  <si>
    <t xml:space="preserve">stir and serve immediately; cup and steam extremely hot</t>
  </si>
  <si>
    <t xml:space="preserve">microwave cup</t>
  </si>
  <si>
    <t xml:space="preserve">heat on HIGH</t>
  </si>
  <si>
    <t xml:space="preserve">submerge 1 bag in about 4 cups (about 1 quart) water in a 2-quart microwave-safe bowl</t>
  </si>
  <si>
    <t xml:space="preserve">remove bag with fork or tongs and drain</t>
  </si>
  <si>
    <t xml:space="preserve">cut bag open, empty rice into dish, fluff</t>
  </si>
  <si>
    <t xml:space="preserve">remove lid completely</t>
  </si>
  <si>
    <t xml:space="preserve">add cold water to fill line (3/4 cup water)</t>
  </si>
  <si>
    <t xml:space="preserve">stir thoroughly to moisten all potatoes</t>
  </si>
  <si>
    <t xml:space="preserve">microwave uncovered on HIGH</t>
  </si>
  <si>
    <t xml:space="preserve">stir well</t>
  </si>
  <si>
    <t xml:space="preserve">add cold water to fill line (volume not given on this page)</t>
  </si>
  <si>
    <t xml:space="preserve">remove board overwrap</t>
  </si>
  <si>
    <t xml:space="preserve">peel back corner or cut small slit in film to vent</t>
  </si>
  <si>
    <t xml:space="preserve">remove carefully, pull back film, stir</t>
  </si>
  <si>
    <t xml:space="preserve">heat additional time, then stir</t>
  </si>
  <si>
    <t xml:space="preserve">cook to 160°F before serving</t>
  </si>
  <si>
    <t xml:space="preserve">add water to line inside cup</t>
  </si>
  <si>
    <t xml:space="preserve">stir, then stand</t>
  </si>
  <si>
    <t xml:space="preserve">add seasoning; fill to line with room-temperature water</t>
  </si>
  <si>
    <t xml:space="preserve">shake well</t>
  </si>
  <si>
    <t xml:space="preserve">pull up red cap to remove, set aside</t>
  </si>
  <si>
    <t xml:space="preserve">lift tab and slowly peel toward you</t>
  </si>
  <si>
    <t xml:space="preserve">microwave uncovered on HIGH or until hot</t>
  </si>
  <si>
    <t xml:space="preserve">carefully remove, stir, replace cap and sip</t>
  </si>
  <si>
    <t xml:space="preserve">pop off cap, remove tab</t>
  </si>
  <si>
    <t xml:space="preserve">microwave uncovered (about)</t>
  </si>
  <si>
    <t xml:space="preserve">replace cap</t>
  </si>
  <si>
    <t xml:space="preserve">place bag in microwave 'THIS SIDE UP'</t>
  </si>
  <si>
    <t xml:space="preserve">set timer (do not use popcorn button); stop when pops are 1-2 s apart, 2-3 s apart will burn</t>
  </si>
  <si>
    <t xml:space="preserve">stay at the microwave</t>
  </si>
  <si>
    <t xml:space="preserve">pull open from top corners, away from face</t>
  </si>
  <si>
    <t xml:space="preserve">place frozen unopened bag 'THIS SIDE UP'; do not pierce; remove metal rack</t>
  </si>
  <si>
    <t xml:space="preserve">check 165°F in several spots</t>
  </si>
  <si>
    <t xml:space="preserve">hold light blue corner tabs, tear at notch, pour</t>
  </si>
  <si>
    <t xml:space="preserve">place frozen unopened bag flat 'this side up'; do not pierce; remove metal rack</t>
  </si>
  <si>
    <t xml:space="preserve">open at notch over serving dish</t>
  </si>
  <si>
    <t xml:space="preserve">microwave bag on HIGH for wattage-specific time (see variants)</t>
  </si>
  <si>
    <t xml:space="preserve">remove pouch from carton; place printed side up on microwavable plate; do not cut slit</t>
  </si>
  <si>
    <t xml:space="preserve">microwave on HIGH per wattage chart (see variants)</t>
  </si>
  <si>
    <t xml:space="preserve">pull or cut open, empty into dish, stir</t>
  </si>
  <si>
    <t xml:space="preserve">do not remove the seal film before cooking</t>
  </si>
  <si>
    <t xml:space="preserve">cook on high</t>
  </si>
  <si>
    <t xml:space="preserve">check internal temperature 165°F with a food thermometer</t>
  </si>
  <si>
    <t xml:space="preserve">let stand</t>
  </si>
  <si>
    <t xml:space="preserve">carefully remove the film and stir gently</t>
  </si>
  <si>
    <t xml:space="preserve">place a single layer of nuggets on a microwave-safe plate</t>
  </si>
  <si>
    <t xml:space="preserve">microwave on high</t>
  </si>
  <si>
    <t xml:space="preserve">remove outer sleeve and pierce film with a fork</t>
  </si>
  <si>
    <t xml:space="preserve">if needed, continue in 30 second intervals until 165°F</t>
  </si>
  <si>
    <t xml:space="preserve">carefully remove film</t>
  </si>
  <si>
    <t xml:space="preserve">pierce film</t>
  </si>
  <si>
    <t xml:space="preserve">heat on high</t>
  </si>
  <si>
    <t xml:space="preserve">carefully remove film and serve</t>
  </si>
  <si>
    <t xml:space="preserve">remove burrito from packaging, place on a microwave-safe plate and cover with a moistened paper towel</t>
  </si>
  <si>
    <t xml:space="preserve">heat on high (one burrito)</t>
  </si>
  <si>
    <t xml:space="preserve">until internal temperature reaches 165°F</t>
  </si>
  <si>
    <t xml:space="preserve">remove tray from sleeve and pierce film 2 to 3 times with a fork</t>
  </si>
  <si>
    <t xml:space="preserve">carefully remove film and stir</t>
  </si>
  <si>
    <t xml:space="preserve">remove outer packaging and carefully puncture film</t>
  </si>
  <si>
    <t xml:space="preserve">until product reaches 165°F</t>
  </si>
  <si>
    <t xml:space="preserve">with lid on, heat on high power</t>
  </si>
  <si>
    <t xml:space="preserve">remove lid carefully and serve</t>
  </si>
  <si>
    <t xml:space="preserve">puncture film</t>
  </si>
  <si>
    <t xml:space="preserve">until heated through</t>
  </si>
  <si>
    <t xml:space="preserve">place tray in microwave</t>
  </si>
  <si>
    <t xml:space="preserve">let sit before removing film</t>
  </si>
  <si>
    <t xml:space="preserve">pierce film several times to vent</t>
  </si>
  <si>
    <t xml:space="preserve">until internal temperature reaches 160°F</t>
  </si>
  <si>
    <t xml:space="preserve">microwave uncovered</t>
  </si>
  <si>
    <t xml:space="preserve">remove film and cover with a paper towel</t>
  </si>
  <si>
    <t xml:space="preserve">stir and replace paper towel</t>
  </si>
  <si>
    <t xml:space="preserve">pierce hole in film to vent</t>
  </si>
  <si>
    <t xml:space="preserve">remove sleeve and puncture film on the curry sauce side</t>
  </si>
  <si>
    <t xml:space="preserve">reheat to at least 165°F</t>
  </si>
  <si>
    <t xml:space="preserve">remove lid</t>
  </si>
  <si>
    <t xml:space="preserve">until the meal reaches an internal temperature of 165°F</t>
  </si>
  <si>
    <t xml:space="preserve">cover tray and place in the center of the microwave</t>
  </si>
  <si>
    <t xml:space="preserve">heat on High</t>
  </si>
  <si>
    <t xml:space="preserve">or to 165°F</t>
  </si>
  <si>
    <t xml:space="preserve">let rest</t>
  </si>
  <si>
    <t xml:space="preserve">place 4 egg rolls on a small microwave-safe plate and cover with a damp paper towel</t>
  </si>
  <si>
    <t xml:space="preserve">Watt</t>
  </si>
  <si>
    <t xml:space="preserve">Food or simulant</t>
  </si>
  <si>
    <t xml:space="preserve">Heating</t>
  </si>
  <si>
    <t xml:space="preserve">Measured</t>
  </si>
  <si>
    <t xml:space="preserve">Source</t>
  </si>
  <si>
    <t xml:space="preserve">5 new PP household containers (480-1200 mL), filled 90% with water</t>
  </si>
  <si>
    <t xml:space="preserve">ultrapure water</t>
  </si>
  <si>
    <t xml:space="preserve">domestic microwave: 700 W for 1/3/5/7 min; 350 W for 1/3/5/7 min; 210 W for 10/15/20/30 min</t>
  </si>
  <si>
    <t xml:space="preserve">&lt;LOQ to 2.0 (max in 1200 mL container D)</t>
  </si>
  <si>
    <t xml:space="preserve">ug/L</t>
  </si>
  <si>
    <t xml:space="preserve">Moreira, Andre, Cardeal 2014, IJERPH 11:507-526, doi:10.3390/ijerph110100507, https://www.mdpi.com/1660-4601/11/1/507/html (LOD 0.08, LOQ 0.2 ug/L)</t>
  </si>
  <si>
    <t xml:space="preserve">5 PP household containers used ~1 year (300-1200 mL), filled 90% with water</t>
  </si>
  <si>
    <t xml:space="preserve">PP (aged)</t>
  </si>
  <si>
    <t xml:space="preserve">same as above (700/350/210 W, 1-30 min)</t>
  </si>
  <si>
    <t xml:space="preserve">&lt;LOQ to 7.5</t>
  </si>
  <si>
    <t xml:space="preserve">Moreira et al. 2014, https://www.mdpi.com/1660-4601/11/1/507/html ; per-condition values only in figures (not extracted)</t>
  </si>
  <si>
    <t xml:space="preserve">10 PP containers (new and used)</t>
  </si>
  <si>
    <t xml:space="preserve">700/350/210 W, 1-30 min</t>
  </si>
  <si>
    <t xml:space="preserve">not detected</t>
  </si>
  <si>
    <t xml:space="preserve">ug/L (LOD 0.31, LOQ 0.5)</t>
  </si>
  <si>
    <t xml:space="preserve">Moreira et al. 2014, https://www.mdpi.com/1660-4601/11/1/507/html</t>
  </si>
  <si>
    <t xml:space="preserve">PP baby-food containers and PE reusable pouch</t>
  </si>
  <si>
    <t xml:space="preserve">PP; PE</t>
  </si>
  <si>
    <t xml:space="preserve">deionised water; 3% acetic acid</t>
  </si>
  <si>
    <t xml:space="preserve">microwave 3 min (1000 W full power per press coverage; power not in abstract: UNVERIFIED)</t>
  </si>
  <si>
    <t xml:space="preserve">microplastic and nanoplastic particles (context only, not a chemical migrant)</t>
  </si>
  <si>
    <t xml:space="preserve">up to 4.22 million microplastics and 2.11 billion nanoplastics per cm2</t>
  </si>
  <si>
    <t xml:space="preserve">particles per cm2 of container surface</t>
  </si>
  <si>
    <t xml:space="preserve">Hussain KA et al. 2023, Environ Sci Technol 57:9782-9792, doi:10.1021/acs.est.3c01942, https://digitalcommons.unl.edu/civilengfacpub/298</t>
  </si>
  <si>
    <t xml:space="preserve">CPET ovenable ready-meal tray, lasagna with meat</t>
  </si>
  <si>
    <t xml:space="preserve">CPET (Sb 290-318 mg/kg)</t>
  </si>
  <si>
    <t xml:space="preserve">lasagna (meat)</t>
  </si>
  <si>
    <t xml:space="preserve">CONVENTIONAL OVEN 200 C, 30 min (not microwave)</t>
  </si>
  <si>
    <t xml:space="preserve">Sb</t>
  </si>
  <si>
    <t xml:space="preserve">raw 1.7 -&gt; cooked 9.4 (3.0 ug migrated measured; 4.0 ug modelled)</t>
  </si>
  <si>
    <t xml:space="preserve">ug/kg fresh weight</t>
  </si>
  <si>
    <t xml:space="preserve">Haldimann et al. 2013, doi:10.1080/19440049.2012.751631, https://pmc.ncbi.nlm.nih.gov/articles/PMC3613973/</t>
  </si>
  <si>
    <t xml:space="preserve">CPET ovenable tray, pasta gratin</t>
  </si>
  <si>
    <t xml:space="preserve">pasta gratin</t>
  </si>
  <si>
    <t xml:space="preserve">conventional oven 200 C, 30 min</t>
  </si>
  <si>
    <t xml:space="preserve">raw 2.2 -&gt; cooked 13.7 (2.0 ug measured; 2.4 ug modelled)</t>
  </si>
  <si>
    <t xml:space="preserve">Haldimann et al. 2013, https://pmc.ncbi.nlm.nih.gov/articles/PMC3613973/</t>
  </si>
  <si>
    <t xml:space="preserve">CPET ovenable tray, cannelloni bolognese</t>
  </si>
  <si>
    <t xml:space="preserve">cannelloni (bolognese)</t>
  </si>
  <si>
    <t xml:space="preserve">raw 2.8 -&gt; cooked 13.6 (1.8 ug measured; 2.2 ug modelled)</t>
  </si>
  <si>
    <t xml:space="preserve">CPET ovenable tray, cannelloni</t>
  </si>
  <si>
    <t xml:space="preserve">cannelloni</t>
  </si>
  <si>
    <t xml:space="preserve">raw 3.7 -&gt; cooked 14.9 (4.7 ug measured; 4.7 ug modelled)</t>
  </si>
  <si>
    <t xml:space="preserve">CPET ovenable tray, fish fillets provencal</t>
  </si>
  <si>
    <t xml:space="preserve">fish fillets (provencal)</t>
  </si>
  <si>
    <t xml:space="preserve">raw 3.0 -&gt; cooked 9.1 (3.6 ug measured; 3.4 ug modelled)</t>
  </si>
  <si>
    <t xml:space="preserve">CPET ovenable tray, pasta with meat</t>
  </si>
  <si>
    <t xml:space="preserve">pasta (meat)</t>
  </si>
  <si>
    <t xml:space="preserve">raw 2.6 -&gt; cooked 13.8 (2.1 ug measured; 2.8 ug modelled)</t>
  </si>
  <si>
    <t xml:space="preserve">CPET tray strips</t>
  </si>
  <si>
    <t xml:space="preserve">3% acetic acid</t>
  </si>
  <si>
    <t xml:space="preserve">24 h at 120 / 135 / 150 C (simulant test, not microwave)</t>
  </si>
  <si>
    <t xml:space="preserve">6.8 / 18.6 / 62.0 % of Sb in polymer migrated; D = 3.0e-11 / 2.4e-10 / 3.3e-9 cm2/s; Ea = 188 +/- 36 kJ/mol; D0 = 3.6e14 cm2/s</t>
  </si>
  <si>
    <t xml:space="preserve">% of initial Sb; cm2/s</t>
  </si>
  <si>
    <t xml:space="preserve">PS dish (n=3), 380 mL water, 337 cm2</t>
  </si>
  <si>
    <t xml:space="preserve">distilled water</t>
  </si>
  <si>
    <t xml:space="preserve">40 C, 10 days (NOT microwave; EU 'extreme conditions')</t>
  </si>
  <si>
    <t xml:space="preserve">DEHP (also DMP 19, DBP &lt;LOD, BBP &lt;LOD, DEHA 40, NP 184, OP 39 ng/L)</t>
  </si>
  <si>
    <t xml:space="preserve">701 +/- 479 (range 323-1239)</t>
  </si>
  <si>
    <t xml:space="preserve">ng/L</t>
  </si>
  <si>
    <t xml:space="preserve">Fasano E et al. 2012, Food Control 27:132-138, doi:10.1016/j.foodcont.2012.03.005, https://www.iris.unina.it/retrieve/handle/11588/469035/52932/Migration%20of%20phthalates%2C.pdf</t>
  </si>
  <si>
    <t xml:space="preserve">Case</t>
  </si>
  <si>
    <t xml:space="preserve">Quantity</t>
  </si>
  <si>
    <t xml:space="preserve">Predicted</t>
  </si>
  <si>
    <t xml:space="preserve">Predicted / measured</t>
  </si>
  <si>
    <t xml:space="preserve">V2</t>
  </si>
  <si>
    <t xml:space="preserve">D antimony in CPET at 120 C</t>
  </si>
  <si>
    <t xml:space="preserve">Arrhenius fit D0 3.6e14 cm2/s, Ea 188 kJ/mol against the D reported for each temperature [S02].</t>
  </si>
  <si>
    <t xml:space="preserve">V1</t>
  </si>
  <si>
    <t xml:space="preserve">Sb released in 24 h at 120 C (fitted D)</t>
  </si>
  <si>
    <t xml:space="preserve">% of total Sb</t>
  </si>
  <si>
    <t xml:space="preserve">Strips in 3 % acetic acid, large simulant volume (alpha = 1e6), 62 % of Sb diffusible [S02].</t>
  </si>
  <si>
    <t xml:space="preserve">Sb released in 24 h at 120 C (reported D)</t>
  </si>
  <si>
    <t xml:space="preserve">D antimony in CPET at 135 C</t>
  </si>
  <si>
    <t xml:space="preserve">Sb released in 24 h at 135 C (fitted D)</t>
  </si>
  <si>
    <t xml:space="preserve">Sb released in 24 h at 135 C (reported D)</t>
  </si>
  <si>
    <t xml:space="preserve">D antimony in CPET at 150 C</t>
  </si>
  <si>
    <t xml:space="preserve">Sb released in 24 h at 150 C (fitted D)</t>
  </si>
  <si>
    <t xml:space="preserve">Sb released in 24 h at 150 C (reported D)</t>
  </si>
  <si>
    <t xml:space="preserve">V3</t>
  </si>
  <si>
    <t xml:space="preserve">D antimony at 100 C, Piringer PET upper bound vs Arrhenius fit</t>
  </si>
  <si>
    <t xml:space="preserve">Piringer is 1796 times higher. It is built for organic migrants, so the engine uses the measured Arrhenius fit for antimony.</t>
  </si>
  <si>
    <t xml:space="preserve">V4</t>
  </si>
  <si>
    <t xml:space="preserve">DBP in water after 7 min at 700 W, wall 0.6 mm, content central</t>
  </si>
  <si>
    <t xml:space="preserve">&lt;0.2 to 2.0</t>
  </si>
  <si>
    <t xml:space="preserve">Water ends near 79 C in the model. Partition regression for water (EtOH-eq 0) gives log K 2.49. DBP content of the tested containers was not reported, so the 0-2.83 mg/kg range from S03/S04 is used. Measured range for new containers [S05].</t>
  </si>
  <si>
    <t xml:space="preserve">DBP in water after 7 min at 700 W, wall 0.6 mm, content high</t>
  </si>
  <si>
    <t xml:space="preserve">DBP in water after 7 min at 700 W, wall 1.2 mm, content central</t>
  </si>
  <si>
    <t xml:space="preserve">DBP in water after 7 min at 700 W, wall 1.2 mm, content high</t>
  </si>
  <si>
    <t xml:space="preserve">V5</t>
  </si>
  <si>
    <t xml:space="preserve">Absorbed fraction of rated power implied by 61 complete label recipes (median)</t>
  </si>
  <si>
    <t xml:space="preserve">Range 0.38-1.05. Measured column is the 1 L water reference (about 0.6 in the Panasonic check [S50]; about 1.0 in S42). Small 250-450 g loads couple less than 1 L water [S26], so a value somewhat below 0.6 is expected. A value far outside 0.3-1.0 would mean the heating model disagrees with how labels were written.</t>
  </si>
  <si>
    <t xml:space="preserve">V6</t>
  </si>
  <si>
    <t xml:space="preserve">Steam bag film temperature after 4 min (zw-023, 1100 W): generic wall model</t>
  </si>
  <si>
    <t xml:space="preserve">95 to 102</t>
  </si>
  <si>
    <t xml:space="preserve">Patent example, oven power not stated [S55]. The generic model (food average 35 C plus a wall excess) misses the steam that forms inside the bag.</t>
  </si>
  <si>
    <t xml:space="preserve">Steam bag film temperature after 4 min (zw-023, 1100 W): steam contact mode</t>
  </si>
  <si>
    <t xml:space="preserve">After this check the engine puts the film of steam bags at 100 C once 60 % of the label energy is delivered (steam_onset_fraction).</t>
  </si>
  <si>
    <t xml:space="preserve">V7</t>
  </si>
  <si>
    <t xml:space="preserve">log Kpf RMSE, published regression, all 1,881 rows</t>
  </si>
  <si>
    <t xml:space="preserve">log10 units</t>
  </si>
  <si>
    <t xml:space="preserve">R2 0.922, n 1881, mean error -0.03. ml/train_kpf.py [S76].</t>
  </si>
  <si>
    <t xml:space="preserve">log Kpf RMSE, refitted regression, whole studies held out</t>
  </si>
  <si>
    <t xml:space="preserve">R2 0.767, n 366, mean error -0.28. ml/train_kpf.py [S76].</t>
  </si>
  <si>
    <t xml:space="preserve">log Kpf RMSE, refitted regression, chemicals held out</t>
  </si>
  <si>
    <t xml:space="preserve">R2 0.917, n 1881, mean error -0.00. ml/train_kpf.py [S76].</t>
  </si>
  <si>
    <t xml:space="preserve">log Kpf RMSE, published regression, PP rows</t>
  </si>
  <si>
    <t xml:space="preserve">R2 0.777, n 56, mean error -0.02. ml/train_kpf.py [S76].</t>
  </si>
  <si>
    <t xml:space="preserve">log Kpf of DEHP in PP, lean food (EtOH-eq 35 %), 100 C</t>
  </si>
  <si>
    <t xml:space="preserve">Measured column holds the v0.2 rule (JRC default K = 1000 for every lipophilic migrant in watery food). The regression agrees for DEHP.</t>
  </si>
  <si>
    <t xml:space="preserve">log Kpf of DBP in PP, lean food (EtOH-eq 35 %), 100 C</t>
  </si>
  <si>
    <t xml:space="preserve">For DBP the regression gives a much lower K than the old default, so more DBP is predicted to move into watery food.</t>
  </si>
  <si>
    <t xml:space="preserve">V8</t>
  </si>
  <si>
    <t xml:space="preserve">D of DEHP in PP at 100 C: Huang 2017 (measured column) vs Piringer upper bound (predicted column)</t>
  </si>
  <si>
    <t xml:space="preserve">Piringer / Huang = 2.2. The engine uses the log midpoint (7.74e-08) and samples between the two. Huang 2017 SE is 1.17 log units [S78].</t>
  </si>
  <si>
    <t xml:space="preserve">D of DBP in PP at 100 C: Huang 2017 (measured column) vs Piringer upper bound (predicted column)</t>
  </si>
  <si>
    <t xml:space="preserve">Piringer / Huang = 2.9. The engine uses the log midpoint (2.07e-07) and samples between the two. Huang 2017 SE is 1.17 log units [S78].</t>
  </si>
  <si>
    <t xml:space="preserve">D of I168 in PP at 100 C: Huang 2017 (measured column) vs Piringer upper bound (predicted column)</t>
  </si>
  <si>
    <t xml:space="preserve">Piringer / Huang = 0.9. The engine uses the log midpoint (1.43e-08) and samples between the two. Huang 2017 SE is 1.17 log units [S78].</t>
  </si>
  <si>
    <t xml:space="preserve">Model</t>
  </si>
  <si>
    <t xml:space="preserve">Item</t>
  </si>
  <si>
    <t xml:space="preserve">Vision model</t>
  </si>
  <si>
    <t xml:space="preserve">Backbone</t>
  </si>
  <si>
    <t xml:space="preserve">MobileNetV2 1.0 224, ImageNet weights, frozen</t>
  </si>
  <si>
    <t xml:space="preserve">Training data</t>
  </si>
  <si>
    <t xml:space="preserve">TrashNet, 6 classes, 1769/379/379 photos (train/val/test)</t>
  </si>
  <si>
    <t xml:space="preserve">Head</t>
  </si>
  <si>
    <t xml:space="preserve">mlp (validation accuracy linear 0.860, mlp 0.889)</t>
  </si>
  <si>
    <t xml:space="preserve">Test accuracy</t>
  </si>
  <si>
    <t xml:space="preserve">Test macro F1</t>
  </si>
  <si>
    <t xml:space="preserve">Per-class F1</t>
  </si>
  <si>
    <t xml:space="preserve">cardboard 0.839, glass 0.81, metal 0.79, paper 0.883, plastic 0.824, trash 0.622</t>
  </si>
  <si>
    <t xml:space="preserve">TFLite size (MB)</t>
  </si>
  <si>
    <t xml:space="preserve">TFLite vs Keras</t>
  </si>
  <si>
    <t xml:space="preserve">embedding cosine min 0.9777, top-1 agreement 58/60</t>
  </si>
  <si>
    <t xml:space="preserve">Split</t>
  </si>
  <si>
    <t xml:space="preserve">by object id (file prefix before _), seed 7, 70/15/15</t>
  </si>
  <si>
    <t xml:space="preserve">Product look-up</t>
  </si>
  <si>
    <t xml:space="preserve">Top-1 on re-photographed objects</t>
  </si>
  <si>
    <t xml:space="preserve">Top-5</t>
  </si>
  <si>
    <t xml:space="preserve">Cosine, same object (median / 5th pct)</t>
  </si>
  <si>
    <t xml:space="preserve">0.842 / 0.726</t>
  </si>
  <si>
    <t xml:space="preserve">Cosine, object not in gallery (median / 95th pct)</t>
  </si>
  <si>
    <t xml:space="preserve">0.640 / 0.742</t>
  </si>
  <si>
    <t xml:space="preserve">Accept threshold (95th pct of unknown)</t>
  </si>
  <si>
    <t xml:space="preserve">Share of correct matches above threshold</t>
  </si>
  <si>
    <t xml:space="preserve">Gallery and unknown photos are TrashNet images (MIT). Replace with product photos once the student has them.</t>
  </si>
  <si>
    <t xml:space="preserve">Partition coefficient model</t>
  </si>
  <si>
    <t xml:space="preserve">Data</t>
  </si>
  <si>
    <t xml:space="preserve">1881 measured log Kpf/Kmw, 233 chemicals, 19 materials, 2-40 C, EtOH-eq 0-100 %</t>
  </si>
  <si>
    <t xml:space="preserve">Used in the app</t>
  </si>
  <si>
    <t xml:space="preserve">Published Huang and Jolliet 2019 material-specific regression (KpfModel sheet)</t>
  </si>
  <si>
    <t xml:space="preserve">Published regression, all rows</t>
  </si>
  <si>
    <t xml:space="preserve">RMSE 0.76, R2 0.922, n 1881</t>
  </si>
  <si>
    <t xml:space="preserve">Refitted regression, whole studies held out</t>
  </si>
  <si>
    <t xml:space="preserve">RMSE 1.11, R2 0.767, n 366</t>
  </si>
  <si>
    <t xml:space="preserve">Monotone gradient boosting, whole studies held out</t>
  </si>
  <si>
    <t xml:space="preserve">RMSE 1.10, R2 0.769, n 366</t>
  </si>
  <si>
    <t xml:space="preserve">Refitted regression, chemicals held out (5-fold)</t>
  </si>
  <si>
    <t xml:space="preserve">RMSE 0.79, R2 0.917, n 1881</t>
  </si>
  <si>
    <t xml:space="preserve">Monotone gradient boosting, chemicals held out (5-fold)</t>
  </si>
  <si>
    <t xml:space="preserve">RMSE 0.75, R2 0.925, n 1881</t>
  </si>
  <si>
    <t xml:space="preserve">Vaferi 2025 GBR as printed (random split, mostly in-sample)</t>
  </si>
  <si>
    <t xml:space="preserve">RMSE 0.24, R2 0.992, n 1847</t>
  </si>
  <si>
    <t xml:space="preserve">PP rows (homopolymer and copolymer), published regression</t>
  </si>
  <si>
    <t xml:space="preserve">RMSE 0.75, R2 0.777, n 56</t>
  </si>
  <si>
    <t xml:space="preserve">Why the regression</t>
  </si>
  <si>
    <t xml:space="preserve">Gradient boosting was only 5 % better on held-out chemicals and equal on held-out studies, and it cannot extrapolate to 100 C or to log Kow above the data. The regression extrapolates in a stated, checkable way.</t>
  </si>
  <si>
    <t xml:space="preserve">Task</t>
  </si>
  <si>
    <t xml:space="preserve">Replaces</t>
  </si>
  <si>
    <t xml:space="preserve">Why</t>
  </si>
  <si>
    <t xml:space="preserve">Done (y/n)</t>
  </si>
  <si>
    <t xml:space="preserve">Result</t>
  </si>
  <si>
    <t xml:space="preserve">Measure tray and cup wall thickness with calipers (5 products, 3 spots each).</t>
  </si>
  <si>
    <t xml:space="preserve">containers.thickness_cm</t>
  </si>
  <si>
    <t xml:space="preserve">Replaces the 0.3-0.6 mm assumption.</t>
  </si>
  <si>
    <t xml:space="preserve">Measure the inner contact area of 5 containers with a ruler (base plus wetted wall).</t>
  </si>
  <si>
    <t xml:space="preserve">containers.area_ref_cm2</t>
  </si>
  <si>
    <t xml:space="preserve">Replaces the geometric estimate.</t>
  </si>
  <si>
    <t xml:space="preserve">Photograph the resin code and 'oven safe' marks of every seed product.</t>
  </si>
  <si>
    <t xml:space="preserve">products.container_key</t>
  </si>
  <si>
    <t xml:space="preserve">Turns 'inferred' rows into 'label' rows.</t>
  </si>
  <si>
    <t xml:space="preserve">Run the 300 g water test in each family microwave (start and end temperature, 2 min).</t>
  </si>
  <si>
    <t xml:space="preserve">appliance power</t>
  </si>
  <si>
    <t xml:space="preserve">Gives the real power of each oven.</t>
  </si>
  <si>
    <t xml:space="preserve">Check a few meals with a food thermometer after the label time (center and edge).</t>
  </si>
  <si>
    <t xml:space="preserve">T_target_avg_C, edge_excess_C</t>
  </si>
  <si>
    <t xml:space="preserve">Tests the temperature model.</t>
  </si>
  <si>
    <t xml:space="preserve">Run ml/train_kpf.py and explain the model comparison; look for food-simulant studies (e.g. FACET, Seiler 2014) to check the EtOH-eq range of each fat class.</t>
  </si>
  <si>
    <t xml:space="preserve">food_classes etoh_low/high</t>
  </si>
  <si>
    <t xml:space="preserve">The EtOH-eq ranges are anchored to EU simulants and two dataset foods only.</t>
  </si>
  <si>
    <t xml:space="preserve">Ask a teacher to review the phthalate content ranges (S03, S04).</t>
  </si>
  <si>
    <t xml:space="preserve">contents</t>
  </si>
  <si>
    <t xml:space="preserve">Only two studies exist for PP.</t>
  </si>
  <si>
    <t xml:space="preserve">Photograph the base of every container (resin code, 'dual ovenable', 'microwave safe') and run the OCR cue reader on it.</t>
  </si>
  <si>
    <t xml:space="preserve">products.container_key, container_cues</t>
  </si>
  <si>
    <t xml:space="preserve">Turns 'unknown' and 'inferred' containers into labelled ones and tests the CPET/PP reader.</t>
  </si>
  <si>
    <t xml:space="preserve">Put a food thermometer probe against the film of a steam bag right after cooking (3 products).</t>
  </si>
  <si>
    <t xml:space="preserve">Checks validation V6 with your own data.</t>
  </si>
  <si>
    <t xml:space="preserve">Photograph 15 or more CPET trays and 15 or more PP trays (several photos each) for the Colab notebook.</t>
  </si>
  <si>
    <t xml:space="preserve">vision model</t>
  </si>
  <si>
    <t xml:space="preserve">Lets the photo model separate CPET from PP when no marking is readable.</t>
  </si>
</sst>
</file>

<file path=xl/styles.xml><?xml version="1.0" encoding="utf-8"?>
<styleSheet xmlns="http://schemas.openxmlformats.org/spreadsheetml/2006/main">
  <numFmts count="5">
    <numFmt numFmtId="164" formatCode="General"/>
    <numFmt numFmtId="165" formatCode="0.00E+00"/>
    <numFmt numFmtId="166" formatCode="0.00"/>
    <numFmt numFmtId="167" formatCode="General"/>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4"/>
      <color rgb="FF4B2E39"/>
      <name val="Arial"/>
      <family val="0"/>
      <charset val="1"/>
    </font>
    <font>
      <b val="true"/>
      <sz val="10"/>
      <name val="Arial"/>
      <family val="0"/>
      <charset val="1"/>
    </font>
    <font>
      <sz val="10"/>
      <color rgb="FF333333"/>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sz val="10"/>
      <color rgb="FF333333"/>
      <name val="Noto Sans CJK SC"/>
      <family val="2"/>
    </font>
    <font>
      <sz val="10"/>
      <name val="Arial"/>
      <family val="2"/>
    </font>
  </fonts>
  <fills count="8">
    <fill>
      <patternFill patternType="none"/>
    </fill>
    <fill>
      <patternFill patternType="gray125"/>
    </fill>
    <fill>
      <patternFill patternType="solid">
        <fgColor rgb="FFD9F2E6"/>
        <bgColor rgb="FFE3F1F8"/>
      </patternFill>
    </fill>
    <fill>
      <patternFill patternType="solid">
        <fgColor rgb="FFE3F1F8"/>
        <bgColor rgb="FFD9F2E6"/>
      </patternFill>
    </fill>
    <fill>
      <patternFill patternType="solid">
        <fgColor rgb="FFEDE7F6"/>
        <bgColor rgb="FFE3F1F8"/>
      </patternFill>
    </fill>
    <fill>
      <patternFill patternType="solid">
        <fgColor rgb="FFFFF2B3"/>
        <bgColor rgb="FFFFFF99"/>
      </patternFill>
    </fill>
    <fill>
      <patternFill patternType="solid">
        <fgColor rgb="FFFBD5C8"/>
        <bgColor rgb="FFD8CCD6"/>
      </patternFill>
    </fill>
    <fill>
      <patternFill patternType="solid">
        <fgColor rgb="FF4B2E39"/>
        <bgColor rgb="FF333333"/>
      </patternFill>
    </fill>
  </fills>
  <borders count="2">
    <border diagonalUp="false" diagonalDown="false">
      <left/>
      <right/>
      <top/>
      <bottom/>
      <diagonal/>
    </border>
    <border diagonalUp="false" diagonalDown="false">
      <left/>
      <right/>
      <top/>
      <bottom style="thin">
        <color rgb="FFD8CC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4B2E39"/>
          <bgColor rgb="FF000000"/>
        </patternFill>
      </fill>
    </dxf>
    <dxf>
      <fill>
        <patternFill patternType="solid">
          <bgColor rgb="FF000000"/>
        </patternFill>
      </fill>
    </dxf>
    <dxf>
      <fill>
        <patternFill patternType="solid">
          <fgColor rgb="FF333333"/>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D9F2E6"/>
          <bgColor rgb="FF000000"/>
        </patternFill>
      </fill>
    </dxf>
    <dxf>
      <fill>
        <patternFill patternType="solid">
          <fgColor rgb="FF000000"/>
          <bgColor rgb="FF000000"/>
        </patternFill>
      </fill>
    </dxf>
    <dxf>
      <fill>
        <patternFill patternType="solid">
          <fgColor rgb="FFFFF2B3"/>
          <bgColor rgb="FF000000"/>
        </patternFill>
      </fill>
    </dxf>
    <dxf>
      <fill>
        <patternFill patternType="solid">
          <fgColor rgb="FFE3F1F8"/>
          <bgColor rgb="FF000000"/>
        </patternFill>
      </fill>
    </dxf>
    <dxf>
      <fill>
        <patternFill patternType="solid">
          <fgColor rgb="FFEDE7F6"/>
          <bgColor rgb="FF000000"/>
        </patternFill>
      </fill>
    </dxf>
    <dxf>
      <fill>
        <patternFill patternType="solid">
          <fgColor rgb="FFFBD5C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D9F2E6"/>
      <rgbColor rgb="FF660066"/>
      <rgbColor rgb="FFFF8080"/>
      <rgbColor rgb="FF0066CC"/>
      <rgbColor rgb="FFD8CCD6"/>
      <rgbColor rgb="FF000080"/>
      <rgbColor rgb="FFFF00FF"/>
      <rgbColor rgb="FFFFFF00"/>
      <rgbColor rgb="FF00FFFF"/>
      <rgbColor rgb="FF800080"/>
      <rgbColor rgb="FF800000"/>
      <rgbColor rgb="FF008080"/>
      <rgbColor rgb="FF0000FF"/>
      <rgbColor rgb="FF00CCFF"/>
      <rgbColor rgb="FFE3F1F8"/>
      <rgbColor rgb="FFEDE7F6"/>
      <rgbColor rgb="FFFFFF99"/>
      <rgbColor rgb="FF99CCFF"/>
      <rgbColor rgb="FFFF99CC"/>
      <rgbColor rgb="FFCC99FF"/>
      <rgbColor rgb="FFFBD5C8"/>
      <rgbColor rgb="FF3366FF"/>
      <rgbColor rgb="FF33CCCC"/>
      <rgbColor rgb="FF99CC00"/>
      <rgbColor rgb="FFFFCC00"/>
      <rgbColor rgb="FFFF9900"/>
      <rgbColor rgb="FFFF6600"/>
      <rgbColor rgb="FF666699"/>
      <rgbColor rgb="FF969696"/>
      <rgbColor rgb="FF003366"/>
      <rgbColor rgb="FF339966"/>
      <rgbColor rgb="FF003300"/>
      <rgbColor rgb="FF4B2E39"/>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ables/table1.xml><?xml version="1.0" encoding="utf-8"?>
<table xmlns="http://schemas.openxmlformats.org/spreadsheetml/2006/main" id="1" name="tAltRefs" displayName="tAltRefs" ref="A1:G6" headerRowCount="1" totalsRowCount="0" totalsRowShown="0">
  <autoFilter ref="A1:G6"/>
  <tableColumns count="7">
    <tableColumn id="1" name="Substance"/>
    <tableColumn id="2" name="Agency"/>
    <tableColumn id="3" name="Value"/>
    <tableColumn id="4" name="Unit"/>
    <tableColumn id="5" name="Year"/>
    <tableColumn id="6" name="Status"/>
    <tableColumn id="7" name="Sources"/>
  </tableColumns>
</table>
</file>

<file path=xl/tables/table2.xml><?xml version="1.0" encoding="utf-8"?>
<table xmlns="http://schemas.openxmlformats.org/spreadsheetml/2006/main" id="2" name="tBodyWeights" displayName="tBodyWeights" ref="A1:E6" headerRowCount="1" totalsRowCount="0" totalsRowShown="0">
  <autoFilter ref="A1:E6"/>
  <tableColumns count="5">
    <tableColumn id="1" name="Group"/>
    <tableColumn id="2" name="Body weight (kg)"/>
    <tableColumn id="3" name="Status"/>
    <tableColumn id="4" name="Sources"/>
    <tableColumn id="5" name="Note"/>
  </tableColumns>
</table>
</file>

<file path=xl/tables/table3.xml><?xml version="1.0" encoding="utf-8"?>
<table xmlns="http://schemas.openxmlformats.org/spreadsheetml/2006/main" id="3" name="tChecklist" displayName="tChecklist" ref="A1:E11" headerRowCount="1" totalsRowCount="0" totalsRowShown="0">
  <autoFilter ref="A1:E11"/>
  <tableColumns count="5">
    <tableColumn id="1" name="Task"/>
    <tableColumn id="2" name="Replaces"/>
    <tableColumn id="3" name="Why"/>
    <tableColumn id="4" name="Done (y/n)"/>
    <tableColumn id="5" name="Result"/>
  </tableColumns>
</table>
</file>

<file path=xl/tables/table4.xml><?xml version="1.0" encoding="utf-8"?>
<table xmlns="http://schemas.openxmlformats.org/spreadsheetml/2006/main" id="4" name="tContainers" displayName="tContainers" ref="A1:S19" headerRowCount="1" totalsRowCount="0" totalsRowShown="0">
  <autoFilter ref="A1:S19"/>
  <tableColumns count="19">
    <tableColumn id="1" name="Key"/>
    <tableColumn id="2" name="Label (en)"/>
    <tableColumn id="3" name="Label (ko)"/>
    <tableColumn id="4" name="Status"/>
    <tableColumn id="5" name="Content key"/>
    <tableColumn id="6" name="Polymer"/>
    <tableColumn id="7" name="Density (g/cm3)"/>
    <tableColumn id="8" name="Thickness (cm)"/>
    <tableColumn id="9" name="Thickness low"/>
    <tableColumn id="10" name="Thickness high"/>
    <tableColumn id="11" name="Contact area at 300 g (cm2)"/>
    <tableColumn id="12" name="Form"/>
    <tableColumn id="13" name="Max use (C)"/>
    <tableColumn id="14" name="Max use (F)"/>
    <tableColumn id="15" name="Reason (en)"/>
    <tableColumn id="16" name="Reason (ko)"/>
    <tableColumn id="17" name="Sources"/>
    <tableColumn id="18" name="Notes"/>
    <tableColumn id="19" name="Contact mode"/>
  </tableColumns>
</table>
</file>

<file path=xl/tables/table5.xml><?xml version="1.0" encoding="utf-8"?>
<table xmlns="http://schemas.openxmlformats.org/spreadsheetml/2006/main" id="5" name="tContents" displayName="tContents" ref="A1:I8" headerRowCount="1" totalsRowCount="0" totalsRowShown="0">
  <autoFilter ref="A1:I8"/>
  <tableColumns count="9">
    <tableColumn id="1" name="Material"/>
    <tableColumn id="2" name="Substance"/>
    <tableColumn id="3" name="Low (mg/kg)"/>
    <tableColumn id="4" name="High (mg/kg)"/>
    <tableColumn id="5" name="Central (mg/kg)"/>
    <tableColumn id="6" name="Distribution"/>
    <tableColumn id="7" name="Status"/>
    <tableColumn id="8" name="Sources"/>
    <tableColumn id="9" name="Note"/>
  </tableColumns>
</table>
</file>

<file path=xl/tables/table6.xml><?xml version="1.0" encoding="utf-8"?>
<table xmlns="http://schemas.openxmlformats.org/spreadsheetml/2006/main" id="6" name="tFoodClasses" displayName="tFoodClasses" ref="A1:K4" headerRowCount="1" totalsRowCount="0" totalsRowShown="0">
  <autoFilter ref="A1:K4"/>
  <tableColumns count="11">
    <tableColumn id="1" name="Class"/>
    <tableColumn id="2" name="Fat fraction min"/>
    <tableColumn id="3" name="Fat fraction max"/>
    <tableColumn id="4" name="Partition rule"/>
    <tableColumn id="5" name="EtOH-eq low (%)"/>
    <tableColumn id="6" name="EtOH-eq high (%)"/>
    <tableColumn id="7" name="Contact T cap low (C)"/>
    <tableColumn id="8" name="Contact T cap high (C)"/>
    <tableColumn id="9" name="Status"/>
    <tableColumn id="10" name="Sources"/>
    <tableColumn id="11" name="Note"/>
  </tableColumns>
</table>
</file>

<file path=xl/tables/table7.xml><?xml version="1.0" encoding="utf-8"?>
<table xmlns="http://schemas.openxmlformats.org/spreadsheetml/2006/main" id="7" name="tGroups" displayName="tGroups" ref="A1:K5" headerRowCount="1" totalsRowCount="0" totalsRowShown="0">
  <autoFilter ref="A1:K5"/>
  <tableColumns count="11">
    <tableColumn id="1" name="Key"/>
    <tableColumn id="2" name="Label (en)"/>
    <tableColumn id="3" name="Label (ko)"/>
    <tableColumn id="4" name="TDI"/>
    <tableColumn id="5" name="Unit"/>
    <tableColumn id="6" name="Agency"/>
    <tableColumn id="7" name="Year"/>
    <tableColumn id="8" name="Daily allowance, 70 kg adult (ug)"/>
    <tableColumn id="9" name="Status"/>
    <tableColumn id="10" name="Sources"/>
    <tableColumn id="11" name="Basis"/>
  </tableColumns>
</table>
</file>

<file path=xl/tables/table8.xml><?xml version="1.0" encoding="utf-8"?>
<table xmlns="http://schemas.openxmlformats.org/spreadsheetml/2006/main" id="8" name="tKpfCoef" displayName="tKpfCoef" ref="A1:C6" headerRowCount="1" totalsRowCount="0" totalsRowShown="0">
  <autoFilter ref="A1:C6"/>
  <tableColumns count="3">
    <tableColumn id="1" name="Coefficient"/>
    <tableColumn id="2" name="Value"/>
    <tableColumn id="3" name="Term"/>
  </tableColumns>
</table>
</file>

<file path=xl/tables/table9.xml><?xml version="1.0" encoding="utf-8"?>
<table xmlns="http://schemas.openxmlformats.org/spreadsheetml/2006/main" id="9" name="tKpfDomain" displayName="tKpfDomain" ref="A31:E35" headerRowCount="1" totalsRowCount="0" totalsRowShown="0">
  <autoFilter ref="A31:E35"/>
  <tableColumns count="5">
    <tableColumn id="1" name="EtOH-eq from (%)"/>
    <tableColumn id="2" name="EtOH-eq to (%)"/>
    <tableColumn id="3" name="log Kow min"/>
    <tableColumn id="4" name="log Kow max"/>
    <tableColumn id="5" name="Rows"/>
  </tableColumns>
</table>
</file>

<file path=xl/tables/table10.xml><?xml version="1.0" encoding="utf-8"?>
<table xmlns="http://schemas.openxmlformats.org/spreadsheetml/2006/main" id="10" name="tKpfMaterial" displayName="tKpfMaterial" ref="A9:B28" headerRowCount="1" totalsRowCount="0" totalsRowShown="0">
  <autoFilter ref="A9:B28"/>
  <tableColumns count="2">
    <tableColumn id="1" name="Material"/>
    <tableColumn id="2" name="Offset"/>
  </tableColumns>
</table>
</file>

<file path=xl/tables/table11.xml><?xml version="1.0" encoding="utf-8"?>
<table xmlns="http://schemas.openxmlformats.org/spreadsheetml/2006/main" id="11" name="tLiterature" displayName="tLiterature" ref="A1:H13" headerRowCount="1" totalsRowCount="0" totalsRowShown="0">
  <autoFilter ref="A1:H13"/>
  <tableColumns count="8">
    <tableColumn id="1" name="Container"/>
    <tableColumn id="2" name="Material"/>
    <tableColumn id="3" name="Food or simulant"/>
    <tableColumn id="4" name="Heating"/>
    <tableColumn id="5" name="Substance"/>
    <tableColumn id="6" name="Measured"/>
    <tableColumn id="7" name="Unit"/>
    <tableColumn id="8" name="Source"/>
  </tableColumns>
</table>
</file>

<file path=xl/tables/table12.xml><?xml version="1.0" encoding="utf-8"?>
<table xmlns="http://schemas.openxmlformats.org/spreadsheetml/2006/main" id="12" name="tMeasured" displayName="tMeasured" ref="A1:K2" headerRowCount="1" totalsRowCount="0" totalsRowShown="0">
  <autoFilter ref="A1:K2"/>
  <tableColumns count="11">
    <tableColumn id="1" name="Container"/>
    <tableColumn id="2" name="Substance"/>
    <tableColumn id="3" name="Group"/>
    <tableColumn id="4" name="Low"/>
    <tableColumn id="5" name="Middle"/>
    <tableColumn id="6" name="High"/>
    <tableColumn id="7" name="Unit"/>
    <tableColumn id="8" name="Basis"/>
    <tableColumn id="9" name="Conditions"/>
    <tableColumn id="10" name="Status"/>
    <tableColumn id="11" name="Sources"/>
  </tableColumns>
</table>
</file>

<file path=xl/tables/table13.xml><?xml version="1.0" encoding="utf-8"?>
<table xmlns="http://schemas.openxmlformats.org/spreadsheetml/2006/main" id="13" name="tModelParams" displayName="tModelParams" ref="A1:F38" headerRowCount="1" totalsRowCount="0" totalsRowShown="0">
  <autoFilter ref="A1:F38"/>
  <tableColumns count="6">
    <tableColumn id="1" name="Key"/>
    <tableColumn id="2" name="Value"/>
    <tableColumn id="3" name="Unit"/>
    <tableColumn id="4" name="Status"/>
    <tableColumn id="5" name="Sources"/>
    <tableColumn id="6" name="Note"/>
  </tableColumns>
</table>
</file>

<file path=xl/tables/table14.xml><?xml version="1.0" encoding="utf-8"?>
<table xmlns="http://schemas.openxmlformats.org/spreadsheetml/2006/main" id="14" name="tModels" displayName="tModels" ref="A1:D27" headerRowCount="1" totalsRowCount="0" totalsRowShown="0">
  <autoFilter ref="A1:D27"/>
  <tableColumns count="4">
    <tableColumn id="1" name="Model"/>
    <tableColumn id="2" name="Item"/>
    <tableColumn id="3" name="Value"/>
    <tableColumn id="4" name="Sources"/>
  </tableColumns>
</table>
</file>

<file path=xl/tables/table15.xml><?xml version="1.0" encoding="utf-8"?>
<table xmlns="http://schemas.openxmlformats.org/spreadsheetml/2006/main" id="15" name="tPolymers" displayName="tPolymers" ref="A1:N14" headerRowCount="1" totalsRowCount="0" totalsRowShown="0">
  <autoFilter ref="A1:N14"/>
  <tableColumns count="14">
    <tableColumn id="1" name="Key"/>
    <tableColumn id="2" name="Polymer"/>
    <tableColumn id="3" name="A_P'"/>
    <tableColumn id="4" name="tau (K)"/>
    <tableColumn id="5" name="T max valid (C)"/>
    <tableColumn id="6" name="Density (g/cm3)"/>
    <tableColumn id="7" name="Density status"/>
    <tableColumn id="8" name="Density source"/>
    <tableColumn id="9" name="Piringer source"/>
    <tableColumn id="10" name="Status"/>
    <tableColumn id="11" name="Huang 2017 material"/>
    <tableColumn id="12" name="Huang b"/>
    <tableColumn id="13" name="Huang tau (K)"/>
    <tableColumn id="14" name="Partition material (Huang and Jolliet 2019)"/>
  </tableColumns>
</table>
</file>

<file path=xl/tables/table16.xml><?xml version="1.0" encoding="utf-8"?>
<table xmlns="http://schemas.openxmlformats.org/spreadsheetml/2006/main" id="16" name="tProducts" displayName="tProducts" ref="A1:AB134" headerRowCount="1" totalsRowCount="0" totalsRowShown="0">
  <autoFilter ref="A1:AB134"/>
  <tableColumns count="28">
    <tableColumn id="1" name="ID"/>
    <tableColumn id="2" name="Brand"/>
    <tableColumn id="3" name="Product"/>
    <tableColumn id="4" name="UPC"/>
    <tableColumn id="5" name="Category"/>
    <tableColumn id="6" name="Net (oz)"/>
    <tableColumn id="7" name="Net (g, label)"/>
    <tableColumn id="8" name="Net (g)"/>
    <tableColumn id="9" name="Servings"/>
    <tableColumn id="10" name="Serving (g)"/>
    <tableColumn id="11" name="Fat per serving (g)"/>
    <tableColumn id="12" name="Added water (g)"/>
    <tableColumn id="13" name="Food mass (g)"/>
    <tableColumn id="14" name="Fat fraction"/>
    <tableColumn id="15" name="Fat class"/>
    <tableColumn id="16" name="Storage"/>
    <tableColumn id="17" name="Container key"/>
    <tableColumn id="18" name="Container confidence"/>
    <tableColumn id="19" name="Container note"/>
    <tableColumn id="20" name="Reference watt"/>
    <tableColumn id="21" name="Instructions"/>
    <tableColumn id="22" name="Do not microwave"/>
    <tableColumn id="23" name="Low-watt note"/>
    <tableColumn id="24" name="Do-not statements"/>
    <tableColumn id="25" name="Oven directions"/>
    <tableColumn id="26" name="Container description"/>
    <tableColumn id="27" name="Data flags"/>
    <tableColumn id="28" name="Source URLs"/>
  </tableColumns>
</table>
</file>

<file path=xl/tables/table17.xml><?xml version="1.0" encoding="utf-8"?>
<table xmlns="http://schemas.openxmlformats.org/spreadsheetml/2006/main" id="17" name="tRecipeSteps" displayName="tRecipeSteps" ref="A1:F478" headerRowCount="1" totalsRowCount="0" totalsRowShown="0">
  <autoFilter ref="A1:F478"/>
  <tableColumns count="6">
    <tableColumn id="1" name="Product ID"/>
    <tableColumn id="2" name="Step"/>
    <tableColumn id="3" name="Kind"/>
    <tableColumn id="4" name="Label text (paraphrased)"/>
    <tableColumn id="5" name="Time (s)"/>
    <tableColumn id="6" name="Time max (s)"/>
  </tableColumns>
</table>
</file>

<file path=xl/tables/table18.xml><?xml version="1.0" encoding="utf-8"?>
<table xmlns="http://schemas.openxmlformats.org/spreadsheetml/2006/main" id="18" name="tSources" displayName="tSources" ref="A1:E83" headerRowCount="1" totalsRowCount="0" totalsRowShown="0">
  <autoFilter ref="A1:E83"/>
  <tableColumns count="5">
    <tableColumn id="1" name="ID"/>
    <tableColumn id="2" name="Citation"/>
    <tableColumn id="3" name="URL"/>
    <tableColumn id="4" name="Type"/>
    <tableColumn id="5" name="Accessed"/>
  </tableColumns>
</table>
</file>

<file path=xl/tables/table19.xml><?xml version="1.0" encoding="utf-8"?>
<table xmlns="http://schemas.openxmlformats.org/spreadsheetml/2006/main" id="19" name="tSubstances" displayName="tSubstances" ref="A1:N7" headerRowCount="1" totalsRowCount="0" totalsRowShown="0">
  <autoFilter ref="A1:N7"/>
  <tableColumns count="14">
    <tableColumn id="1" name="Key"/>
    <tableColumn id="2" name="Name"/>
    <tableColumn id="3" name="CAS"/>
    <tableColumn id="4" name="MW (g/mol)"/>
    <tableColumn id="5" name="log Kow"/>
    <tableColumn id="6" name="Group"/>
    <tableColumn id="7" name="RPF (DEHP-eq)"/>
    <tableColumn id="8" name="Diffusion model"/>
    <tableColumn id="9" name="D0 (cm2/s)"/>
    <tableColumn id="10" name="Ea (kJ/mol)"/>
    <tableColumn id="11" name="Diffusible fraction"/>
    <tableColumn id="12" name="Status"/>
    <tableColumn id="13" name="Sources"/>
    <tableColumn id="14" name="Note"/>
  </tableColumns>
</table>
</file>

<file path=xl/tables/table20.xml><?xml version="1.0" encoding="utf-8"?>
<table xmlns="http://schemas.openxmlformats.org/spreadsheetml/2006/main" id="20" name="tValidation" displayName="tValidation" ref="A1:G27" headerRowCount="1" totalsRowCount="0" totalsRowShown="0">
  <autoFilter ref="A1:G27"/>
  <tableColumns count="7">
    <tableColumn id="1" name="Case"/>
    <tableColumn id="2" name="Quantity"/>
    <tableColumn id="3" name="Unit"/>
    <tableColumn id="4" name="Measured"/>
    <tableColumn id="5" name="Predicted"/>
    <tableColumn id="6" name="Note"/>
    <tableColumn id="7" name="Predicted / measured"/>
  </tableColumns>
</table>
</file>

<file path=xl/tables/table21.xml><?xml version="1.0" encoding="utf-8"?>
<table xmlns="http://schemas.openxmlformats.org/spreadsheetml/2006/main" id="21" name="tWattTables" displayName="tWattTables" ref="A1:D38" headerRowCount="1" totalsRowCount="0" totalsRowShown="0">
  <autoFilter ref="A1:D38"/>
  <tableColumns count="4">
    <tableColumn id="1" name="Product ID"/>
    <tableColumn id="2" name="Watt"/>
    <tableColumn id="3" name="Time (s)"/>
    <tableColumn id="4" name="Time max (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8.xml"/>
</Relationships>
</file>

<file path=xl/worksheets/_rels/sheet3.xml.rels><?xml version="1.0" encoding="UTF-8"?>
<Relationships xmlns="http://schemas.openxmlformats.org/package/2006/relationships"><Relationship Id="rId1" Type="http://schemas.openxmlformats.org/officeDocument/2006/relationships/table" Target="../tables/table15.xml"/>
</Relationships>
</file>

<file path=xl/worksheets/_rels/sheet4.xml.rels><?xml version="1.0" encoding="UTF-8"?>
<Relationships xmlns="http://schemas.openxmlformats.org/package/2006/relationships"><Relationship Id="rId1" Type="http://schemas.openxmlformats.org/officeDocument/2006/relationships/table" Target="../tables/table19.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Relationship Id="rId3" Type="http://schemas.openxmlformats.org/officeDocument/2006/relationships/table" Target="../tables/table4.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9.xml"/><Relationship Id="rId3"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table" Target="../tables/table13.xml"/>
</Relationships>
</file>

<file path=xl/worksheets/_rels/sheet13.xml.rels><?xml version="1.0" encoding="UTF-8"?>
<Relationships xmlns="http://schemas.openxmlformats.org/package/2006/relationships"><Relationship Id="rId1" Type="http://schemas.openxmlformats.org/officeDocument/2006/relationships/table" Target="../tables/table2.xml"/>
</Relationships>
</file>

<file path=xl/worksheets/_rels/sheet14.xml.rels><?xml version="1.0" encoding="UTF-8"?>
<Relationships xmlns="http://schemas.openxmlformats.org/package/2006/relationships"><Relationship Id="rId1" Type="http://schemas.openxmlformats.org/officeDocument/2006/relationships/table" Target="../tables/table16.xml"/>
</Relationships>
</file>

<file path=xl/worksheets/_rels/sheet15.xml.rels><?xml version="1.0" encoding="UTF-8"?>
<Relationships xmlns="http://schemas.openxmlformats.org/package/2006/relationships"><Relationship Id="rId1" Type="http://schemas.openxmlformats.org/officeDocument/2006/relationships/table" Target="../tables/table17.xml"/>
</Relationships>
</file>

<file path=xl/worksheets/_rels/sheet16.xml.rels><?xml version="1.0" encoding="UTF-8"?>
<Relationships xmlns="http://schemas.openxmlformats.org/package/2006/relationships"><Relationship Id="rId1" Type="http://schemas.openxmlformats.org/officeDocument/2006/relationships/table" Target="../tables/table21.xml"/>
</Relationships>
</file>

<file path=xl/worksheets/_rels/sheet17.xml.rels><?xml version="1.0" encoding="UTF-8"?>
<Relationships xmlns="http://schemas.openxmlformats.org/package/2006/relationships"><Relationship Id="rId1" Type="http://schemas.openxmlformats.org/officeDocument/2006/relationships/table" Target="../tables/table11.xml"/>
</Relationships>
</file>

<file path=xl/worksheets/_rels/sheet18.xml.rels><?xml version="1.0" encoding="UTF-8"?>
<Relationships xmlns="http://schemas.openxmlformats.org/package/2006/relationships"><Relationship Id="rId1" Type="http://schemas.openxmlformats.org/officeDocument/2006/relationships/table" Target="../tables/table20.xml"/>
</Relationships>
</file>

<file path=xl/worksheets/_rels/sheet19.xml.rels><?xml version="1.0" encoding="UTF-8"?>
<Relationships xmlns="http://schemas.openxmlformats.org/package/2006/relationships"><Relationship Id="rId1" Type="http://schemas.openxmlformats.org/officeDocument/2006/relationships/table" Target="../tables/table14.xml"/>
</Relationships>
</file>

<file path=xl/worksheets/_rels/sheet20.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4" t="s">
        <v>9</v>
      </c>
      <c r="B7" s="3" t="s">
        <v>10</v>
      </c>
    </row>
    <row r="8" customFormat="false" ht="15" hidden="false" customHeight="false" outlineLevel="0" collapsed="false">
      <c r="A8" s="5" t="s">
        <v>11</v>
      </c>
      <c r="B8" s="3" t="s">
        <v>12</v>
      </c>
    </row>
    <row r="9" customFormat="false" ht="15" hidden="false" customHeight="false" outlineLevel="0" collapsed="false">
      <c r="A9" s="6" t="s">
        <v>13</v>
      </c>
      <c r="B9" s="3" t="s">
        <v>14</v>
      </c>
    </row>
    <row r="10" customFormat="false" ht="15" hidden="false" customHeight="false" outlineLevel="0" collapsed="false">
      <c r="A10" s="7" t="s">
        <v>15</v>
      </c>
      <c r="B10" s="3" t="s">
        <v>16</v>
      </c>
    </row>
    <row r="11" customFormat="false" ht="15" hidden="false" customHeight="false" outlineLevel="0" collapsed="false">
      <c r="A11" s="8" t="s">
        <v>17</v>
      </c>
      <c r="B11" s="3" t="s">
        <v>18</v>
      </c>
    </row>
    <row r="12" customFormat="false" ht="15" hidden="false" customHeight="false" outlineLevel="0" collapsed="false">
      <c r="A12" s="2" t="s">
        <v>19</v>
      </c>
      <c r="B12" s="3" t="s">
        <v>20</v>
      </c>
    </row>
    <row r="13" customFormat="false" ht="15" hidden="false" customHeight="false" outlineLevel="0" collapsed="false">
      <c r="A13" s="2" t="s">
        <v>21</v>
      </c>
      <c r="B13" s="3" t="s">
        <v>22</v>
      </c>
    </row>
    <row r="14" customFormat="false" ht="23.85" hidden="false" customHeight="false" outlineLevel="0" collapsed="false">
      <c r="A14" s="2" t="s">
        <v>23</v>
      </c>
      <c r="B14"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0"/>
    <col collapsed="false" customWidth="true" hidden="false" outlineLevel="0" max="3" min="3" style="0" width="60"/>
    <col collapsed="false" customWidth="true" hidden="false" outlineLevel="0" max="4" min="4" style="0" width="13"/>
    <col collapsed="false" customWidth="true" hidden="false" outlineLevel="0" max="5" min="5" style="0" width="12"/>
  </cols>
  <sheetData>
    <row r="1" customFormat="false" ht="15" hidden="false" customHeight="false" outlineLevel="0" collapsed="false">
      <c r="A1" s="9" t="s">
        <v>25</v>
      </c>
      <c r="B1" s="9" t="s">
        <v>26</v>
      </c>
      <c r="C1" s="9" t="s">
        <v>27</v>
      </c>
      <c r="D1" s="9" t="s">
        <v>28</v>
      </c>
      <c r="E1" s="9" t="s">
        <v>29</v>
      </c>
    </row>
    <row r="2" customFormat="false" ht="23.85" hidden="false" customHeight="false" outlineLevel="0" collapsed="false">
      <c r="A2" s="10" t="s">
        <v>30</v>
      </c>
      <c r="B2" s="10" t="s">
        <v>31</v>
      </c>
      <c r="C2" s="10" t="s">
        <v>32</v>
      </c>
      <c r="D2" s="10" t="s">
        <v>33</v>
      </c>
      <c r="E2" s="10" t="s">
        <v>4</v>
      </c>
    </row>
    <row r="3" customFormat="false" ht="35.05" hidden="false" customHeight="false" outlineLevel="0" collapsed="false">
      <c r="A3" s="10" t="s">
        <v>34</v>
      </c>
      <c r="B3" s="10" t="s">
        <v>35</v>
      </c>
      <c r="C3" s="10" t="s">
        <v>36</v>
      </c>
      <c r="D3" s="10" t="s">
        <v>37</v>
      </c>
      <c r="E3" s="10" t="s">
        <v>4</v>
      </c>
    </row>
    <row r="4" customFormat="false" ht="23.85" hidden="false" customHeight="false" outlineLevel="0" collapsed="false">
      <c r="A4" s="10" t="s">
        <v>38</v>
      </c>
      <c r="B4" s="10" t="s">
        <v>39</v>
      </c>
      <c r="C4" s="10" t="s">
        <v>40</v>
      </c>
      <c r="D4" s="10" t="s">
        <v>37</v>
      </c>
      <c r="E4" s="10" t="s">
        <v>4</v>
      </c>
    </row>
    <row r="5" customFormat="false" ht="23.85" hidden="false" customHeight="false" outlineLevel="0" collapsed="false">
      <c r="A5" s="10" t="s">
        <v>41</v>
      </c>
      <c r="B5" s="10" t="s">
        <v>42</v>
      </c>
      <c r="C5" s="10" t="s">
        <v>43</v>
      </c>
      <c r="D5" s="10" t="s">
        <v>37</v>
      </c>
      <c r="E5" s="10" t="s">
        <v>4</v>
      </c>
    </row>
    <row r="6" customFormat="false" ht="35.05" hidden="false" customHeight="false" outlineLevel="0" collapsed="false">
      <c r="A6" s="10" t="s">
        <v>44</v>
      </c>
      <c r="B6" s="10" t="s">
        <v>45</v>
      </c>
      <c r="C6" s="10" t="s">
        <v>46</v>
      </c>
      <c r="D6" s="10" t="s">
        <v>37</v>
      </c>
      <c r="E6" s="10" t="s">
        <v>4</v>
      </c>
    </row>
    <row r="7" customFormat="false" ht="15" hidden="false" customHeight="false" outlineLevel="0" collapsed="false">
      <c r="A7" s="10" t="s">
        <v>47</v>
      </c>
      <c r="B7" s="10" t="s">
        <v>48</v>
      </c>
      <c r="C7" s="10" t="s">
        <v>49</v>
      </c>
      <c r="D7" s="10" t="s">
        <v>37</v>
      </c>
      <c r="E7" s="10" t="s">
        <v>4</v>
      </c>
    </row>
    <row r="8" customFormat="false" ht="23.85" hidden="false" customHeight="false" outlineLevel="0" collapsed="false">
      <c r="A8" s="10" t="s">
        <v>50</v>
      </c>
      <c r="B8" s="10" t="s">
        <v>51</v>
      </c>
      <c r="C8" s="10" t="s">
        <v>52</v>
      </c>
      <c r="D8" s="10" t="s">
        <v>53</v>
      </c>
      <c r="E8" s="10" t="s">
        <v>4</v>
      </c>
    </row>
    <row r="9" customFormat="false" ht="23.85" hidden="false" customHeight="false" outlineLevel="0" collapsed="false">
      <c r="A9" s="10" t="s">
        <v>54</v>
      </c>
      <c r="B9" s="10" t="s">
        <v>55</v>
      </c>
      <c r="C9" s="10" t="s">
        <v>56</v>
      </c>
      <c r="D9" s="10" t="s">
        <v>57</v>
      </c>
      <c r="E9" s="10" t="s">
        <v>4</v>
      </c>
    </row>
    <row r="10" customFormat="false" ht="35.05" hidden="false" customHeight="false" outlineLevel="0" collapsed="false">
      <c r="A10" s="10" t="s">
        <v>58</v>
      </c>
      <c r="B10" s="10" t="s">
        <v>59</v>
      </c>
      <c r="C10" s="10" t="s">
        <v>60</v>
      </c>
      <c r="D10" s="10" t="s">
        <v>53</v>
      </c>
      <c r="E10" s="10" t="s">
        <v>4</v>
      </c>
    </row>
    <row r="11" customFormat="false" ht="15" hidden="false" customHeight="false" outlineLevel="0" collapsed="false">
      <c r="A11" s="10" t="s">
        <v>61</v>
      </c>
      <c r="B11" s="10" t="s">
        <v>62</v>
      </c>
      <c r="C11" s="10" t="s">
        <v>63</v>
      </c>
      <c r="D11" s="10" t="s">
        <v>53</v>
      </c>
      <c r="E11" s="10" t="s">
        <v>4</v>
      </c>
    </row>
    <row r="12" customFormat="false" ht="23.85" hidden="false" customHeight="false" outlineLevel="0" collapsed="false">
      <c r="A12" s="10" t="s">
        <v>64</v>
      </c>
      <c r="B12" s="10" t="s">
        <v>65</v>
      </c>
      <c r="C12" s="10" t="s">
        <v>66</v>
      </c>
      <c r="D12" s="10" t="s">
        <v>53</v>
      </c>
      <c r="E12" s="10" t="s">
        <v>4</v>
      </c>
    </row>
    <row r="13" customFormat="false" ht="23.85" hidden="false" customHeight="false" outlineLevel="0" collapsed="false">
      <c r="A13" s="10" t="s">
        <v>67</v>
      </c>
      <c r="B13" s="10" t="s">
        <v>68</v>
      </c>
      <c r="C13" s="10" t="s">
        <v>69</v>
      </c>
      <c r="D13" s="10" t="s">
        <v>53</v>
      </c>
      <c r="E13" s="10" t="s">
        <v>4</v>
      </c>
    </row>
    <row r="14" customFormat="false" ht="15" hidden="false" customHeight="false" outlineLevel="0" collapsed="false">
      <c r="A14" s="10" t="s">
        <v>70</v>
      </c>
      <c r="B14" s="10" t="s">
        <v>71</v>
      </c>
      <c r="C14" s="10" t="s">
        <v>72</v>
      </c>
      <c r="D14" s="10" t="s">
        <v>53</v>
      </c>
      <c r="E14" s="10" t="s">
        <v>4</v>
      </c>
    </row>
    <row r="15" customFormat="false" ht="35.05" hidden="false" customHeight="false" outlineLevel="0" collapsed="false">
      <c r="A15" s="10" t="s">
        <v>73</v>
      </c>
      <c r="B15" s="10" t="s">
        <v>74</v>
      </c>
      <c r="C15" s="10" t="s">
        <v>75</v>
      </c>
      <c r="D15" s="10" t="s">
        <v>53</v>
      </c>
      <c r="E15" s="10" t="s">
        <v>4</v>
      </c>
    </row>
    <row r="16" customFormat="false" ht="15" hidden="false" customHeight="false" outlineLevel="0" collapsed="false">
      <c r="A16" s="10" t="s">
        <v>76</v>
      </c>
      <c r="B16" s="10" t="s">
        <v>77</v>
      </c>
      <c r="C16" s="10" t="s">
        <v>78</v>
      </c>
      <c r="D16" s="10" t="s">
        <v>53</v>
      </c>
      <c r="E16" s="10" t="s">
        <v>4</v>
      </c>
    </row>
    <row r="17" customFormat="false" ht="15" hidden="false" customHeight="false" outlineLevel="0" collapsed="false">
      <c r="A17" s="10" t="s">
        <v>79</v>
      </c>
      <c r="B17" s="10" t="s">
        <v>80</v>
      </c>
      <c r="C17" s="10" t="s">
        <v>81</v>
      </c>
      <c r="D17" s="10" t="s">
        <v>82</v>
      </c>
      <c r="E17" s="10" t="s">
        <v>4</v>
      </c>
    </row>
    <row r="18" customFormat="false" ht="23.85" hidden="false" customHeight="false" outlineLevel="0" collapsed="false">
      <c r="A18" s="10" t="s">
        <v>83</v>
      </c>
      <c r="B18" s="10" t="s">
        <v>84</v>
      </c>
      <c r="C18" s="10" t="s">
        <v>85</v>
      </c>
      <c r="D18" s="10" t="s">
        <v>86</v>
      </c>
      <c r="E18" s="10" t="s">
        <v>4</v>
      </c>
    </row>
    <row r="19" customFormat="false" ht="15" hidden="false" customHeight="false" outlineLevel="0" collapsed="false">
      <c r="A19" s="10" t="s">
        <v>87</v>
      </c>
      <c r="B19" s="10" t="s">
        <v>88</v>
      </c>
      <c r="C19" s="10" t="s">
        <v>89</v>
      </c>
      <c r="D19" s="10" t="s">
        <v>90</v>
      </c>
      <c r="E19" s="10" t="s">
        <v>4</v>
      </c>
    </row>
    <row r="20" customFormat="false" ht="23.85" hidden="false" customHeight="false" outlineLevel="0" collapsed="false">
      <c r="A20" s="10" t="s">
        <v>91</v>
      </c>
      <c r="B20" s="10" t="s">
        <v>92</v>
      </c>
      <c r="C20" s="10" t="s">
        <v>93</v>
      </c>
      <c r="D20" s="10" t="s">
        <v>82</v>
      </c>
      <c r="E20" s="10" t="s">
        <v>4</v>
      </c>
    </row>
    <row r="21" customFormat="false" ht="23.85" hidden="false" customHeight="false" outlineLevel="0" collapsed="false">
      <c r="A21" s="10" t="s">
        <v>94</v>
      </c>
      <c r="B21" s="10" t="s">
        <v>95</v>
      </c>
      <c r="C21" s="10" t="s">
        <v>96</v>
      </c>
      <c r="D21" s="10" t="s">
        <v>90</v>
      </c>
      <c r="E21" s="10" t="s">
        <v>4</v>
      </c>
    </row>
    <row r="22" customFormat="false" ht="23.85" hidden="false" customHeight="false" outlineLevel="0" collapsed="false">
      <c r="A22" s="10" t="s">
        <v>97</v>
      </c>
      <c r="B22" s="10" t="s">
        <v>98</v>
      </c>
      <c r="C22" s="10" t="s">
        <v>99</v>
      </c>
      <c r="D22" s="10" t="s">
        <v>100</v>
      </c>
      <c r="E22" s="10" t="s">
        <v>4</v>
      </c>
    </row>
    <row r="23" customFormat="false" ht="23.85" hidden="false" customHeight="false" outlineLevel="0" collapsed="false">
      <c r="A23" s="10" t="s">
        <v>101</v>
      </c>
      <c r="B23" s="10" t="s">
        <v>102</v>
      </c>
      <c r="C23" s="10" t="s">
        <v>103</v>
      </c>
      <c r="D23" s="10" t="s">
        <v>53</v>
      </c>
      <c r="E23" s="10" t="s">
        <v>4</v>
      </c>
    </row>
    <row r="24" customFormat="false" ht="23.85" hidden="false" customHeight="false" outlineLevel="0" collapsed="false">
      <c r="A24" s="10" t="s">
        <v>104</v>
      </c>
      <c r="B24" s="10" t="s">
        <v>105</v>
      </c>
      <c r="C24" s="10" t="s">
        <v>106</v>
      </c>
      <c r="D24" s="10" t="s">
        <v>57</v>
      </c>
      <c r="E24" s="10" t="s">
        <v>4</v>
      </c>
    </row>
    <row r="25" customFormat="false" ht="23.85" hidden="false" customHeight="false" outlineLevel="0" collapsed="false">
      <c r="A25" s="10" t="s">
        <v>107</v>
      </c>
      <c r="B25" s="10" t="s">
        <v>108</v>
      </c>
      <c r="C25" s="10" t="s">
        <v>109</v>
      </c>
      <c r="D25" s="10" t="s">
        <v>53</v>
      </c>
      <c r="E25" s="10" t="s">
        <v>4</v>
      </c>
    </row>
    <row r="26" customFormat="false" ht="23.85" hidden="false" customHeight="false" outlineLevel="0" collapsed="false">
      <c r="A26" s="10" t="s">
        <v>110</v>
      </c>
      <c r="B26" s="10" t="s">
        <v>111</v>
      </c>
      <c r="C26" s="10" t="s">
        <v>112</v>
      </c>
      <c r="D26" s="10" t="s">
        <v>82</v>
      </c>
      <c r="E26" s="10" t="s">
        <v>4</v>
      </c>
    </row>
    <row r="27" customFormat="false" ht="23.85" hidden="false" customHeight="false" outlineLevel="0" collapsed="false">
      <c r="A27" s="10" t="s">
        <v>113</v>
      </c>
      <c r="B27" s="10" t="s">
        <v>114</v>
      </c>
      <c r="C27" s="10" t="s">
        <v>115</v>
      </c>
      <c r="D27" s="10" t="s">
        <v>100</v>
      </c>
      <c r="E27" s="10" t="s">
        <v>4</v>
      </c>
    </row>
    <row r="28" customFormat="false" ht="23.85" hidden="false" customHeight="false" outlineLevel="0" collapsed="false">
      <c r="A28" s="10" t="s">
        <v>116</v>
      </c>
      <c r="B28" s="10" t="s">
        <v>117</v>
      </c>
      <c r="C28" s="10" t="s">
        <v>118</v>
      </c>
      <c r="D28" s="10" t="s">
        <v>119</v>
      </c>
      <c r="E28" s="10" t="s">
        <v>4</v>
      </c>
    </row>
    <row r="29" customFormat="false" ht="23.85" hidden="false" customHeight="false" outlineLevel="0" collapsed="false">
      <c r="A29" s="10" t="s">
        <v>120</v>
      </c>
      <c r="B29" s="10" t="s">
        <v>121</v>
      </c>
      <c r="C29" s="10" t="s">
        <v>122</v>
      </c>
      <c r="D29" s="10" t="s">
        <v>37</v>
      </c>
      <c r="E29" s="10" t="s">
        <v>4</v>
      </c>
    </row>
    <row r="30" customFormat="false" ht="23.85" hidden="false" customHeight="false" outlineLevel="0" collapsed="false">
      <c r="A30" s="10" t="s">
        <v>123</v>
      </c>
      <c r="B30" s="10" t="s">
        <v>124</v>
      </c>
      <c r="C30" s="10" t="s">
        <v>125</v>
      </c>
      <c r="D30" s="10" t="s">
        <v>37</v>
      </c>
      <c r="E30" s="10" t="s">
        <v>4</v>
      </c>
    </row>
    <row r="31" customFormat="false" ht="23.85" hidden="false" customHeight="false" outlineLevel="0" collapsed="false">
      <c r="A31" s="10" t="s">
        <v>126</v>
      </c>
      <c r="B31" s="10" t="s">
        <v>127</v>
      </c>
      <c r="C31" s="10" t="s">
        <v>128</v>
      </c>
      <c r="D31" s="10" t="s">
        <v>53</v>
      </c>
      <c r="E31" s="10" t="s">
        <v>4</v>
      </c>
    </row>
    <row r="32" customFormat="false" ht="23.85" hidden="false" customHeight="false" outlineLevel="0" collapsed="false">
      <c r="A32" s="10" t="s">
        <v>129</v>
      </c>
      <c r="B32" s="10" t="s">
        <v>130</v>
      </c>
      <c r="C32" s="10" t="s">
        <v>131</v>
      </c>
      <c r="D32" s="10" t="s">
        <v>57</v>
      </c>
      <c r="E32" s="10" t="s">
        <v>4</v>
      </c>
    </row>
    <row r="33" customFormat="false" ht="35.05" hidden="false" customHeight="false" outlineLevel="0" collapsed="false">
      <c r="A33" s="10" t="s">
        <v>132</v>
      </c>
      <c r="B33" s="10" t="s">
        <v>133</v>
      </c>
      <c r="C33" s="10" t="s">
        <v>134</v>
      </c>
      <c r="D33" s="10" t="s">
        <v>86</v>
      </c>
      <c r="E33" s="10" t="s">
        <v>4</v>
      </c>
    </row>
    <row r="34" customFormat="false" ht="23.85" hidden="false" customHeight="false" outlineLevel="0" collapsed="false">
      <c r="A34" s="10" t="s">
        <v>135</v>
      </c>
      <c r="B34" s="10" t="s">
        <v>136</v>
      </c>
      <c r="C34" s="10" t="s">
        <v>137</v>
      </c>
      <c r="D34" s="10" t="s">
        <v>37</v>
      </c>
      <c r="E34" s="10" t="s">
        <v>4</v>
      </c>
    </row>
    <row r="35" customFormat="false" ht="35.05" hidden="false" customHeight="false" outlineLevel="0" collapsed="false">
      <c r="A35" s="10" t="s">
        <v>138</v>
      </c>
      <c r="B35" s="10" t="s">
        <v>139</v>
      </c>
      <c r="C35" s="10" t="s">
        <v>140</v>
      </c>
      <c r="D35" s="10" t="s">
        <v>37</v>
      </c>
      <c r="E35" s="10" t="s">
        <v>4</v>
      </c>
    </row>
    <row r="36" customFormat="false" ht="23.85" hidden="false" customHeight="false" outlineLevel="0" collapsed="false">
      <c r="A36" s="10" t="s">
        <v>141</v>
      </c>
      <c r="B36" s="10" t="s">
        <v>142</v>
      </c>
      <c r="C36" s="10" t="s">
        <v>143</v>
      </c>
      <c r="D36" s="10" t="s">
        <v>37</v>
      </c>
      <c r="E36" s="10" t="s">
        <v>4</v>
      </c>
    </row>
    <row r="37" customFormat="false" ht="23.85" hidden="false" customHeight="false" outlineLevel="0" collapsed="false">
      <c r="A37" s="10" t="s">
        <v>144</v>
      </c>
      <c r="B37" s="10" t="s">
        <v>145</v>
      </c>
      <c r="C37" s="10" t="s">
        <v>146</v>
      </c>
      <c r="D37" s="10" t="s">
        <v>37</v>
      </c>
      <c r="E37" s="10" t="s">
        <v>4</v>
      </c>
    </row>
    <row r="38" customFormat="false" ht="23.85" hidden="false" customHeight="false" outlineLevel="0" collapsed="false">
      <c r="A38" s="10" t="s">
        <v>147</v>
      </c>
      <c r="B38" s="10" t="s">
        <v>148</v>
      </c>
      <c r="C38" s="10" t="s">
        <v>149</v>
      </c>
      <c r="D38" s="10" t="s">
        <v>37</v>
      </c>
      <c r="E38" s="10" t="s">
        <v>4</v>
      </c>
    </row>
    <row r="39" customFormat="false" ht="23.85" hidden="false" customHeight="false" outlineLevel="0" collapsed="false">
      <c r="A39" s="10" t="s">
        <v>150</v>
      </c>
      <c r="B39" s="10" t="s">
        <v>151</v>
      </c>
      <c r="C39" s="10" t="s">
        <v>152</v>
      </c>
      <c r="D39" s="10" t="s">
        <v>37</v>
      </c>
      <c r="E39" s="10" t="s">
        <v>4</v>
      </c>
    </row>
    <row r="40" customFormat="false" ht="23.85" hidden="false" customHeight="false" outlineLevel="0" collapsed="false">
      <c r="A40" s="10" t="s">
        <v>153</v>
      </c>
      <c r="B40" s="10" t="s">
        <v>154</v>
      </c>
      <c r="C40" s="10" t="s">
        <v>155</v>
      </c>
      <c r="D40" s="10" t="s">
        <v>53</v>
      </c>
      <c r="E40" s="10" t="s">
        <v>4</v>
      </c>
    </row>
    <row r="41" customFormat="false" ht="15" hidden="false" customHeight="false" outlineLevel="0" collapsed="false">
      <c r="A41" s="10" t="s">
        <v>156</v>
      </c>
      <c r="B41" s="10" t="s">
        <v>157</v>
      </c>
      <c r="C41" s="10" t="s">
        <v>158</v>
      </c>
      <c r="D41" s="10" t="s">
        <v>37</v>
      </c>
      <c r="E41" s="10" t="s">
        <v>4</v>
      </c>
    </row>
    <row r="42" customFormat="false" ht="35.05" hidden="false" customHeight="false" outlineLevel="0" collapsed="false">
      <c r="A42" s="10" t="s">
        <v>159</v>
      </c>
      <c r="B42" s="10" t="s">
        <v>160</v>
      </c>
      <c r="C42" s="10" t="s">
        <v>161</v>
      </c>
      <c r="D42" s="10" t="s">
        <v>33</v>
      </c>
      <c r="E42" s="10" t="s">
        <v>4</v>
      </c>
    </row>
    <row r="43" customFormat="false" ht="23.85" hidden="false" customHeight="false" outlineLevel="0" collapsed="false">
      <c r="A43" s="10" t="s">
        <v>162</v>
      </c>
      <c r="B43" s="10" t="s">
        <v>163</v>
      </c>
      <c r="C43" s="10" t="s">
        <v>164</v>
      </c>
      <c r="D43" s="10" t="s">
        <v>37</v>
      </c>
      <c r="E43" s="10" t="s">
        <v>4</v>
      </c>
    </row>
    <row r="44" customFormat="false" ht="23.85" hidden="false" customHeight="false" outlineLevel="0" collapsed="false">
      <c r="A44" s="10" t="s">
        <v>165</v>
      </c>
      <c r="B44" s="10" t="s">
        <v>166</v>
      </c>
      <c r="C44" s="10" t="s">
        <v>167</v>
      </c>
      <c r="D44" s="10" t="s">
        <v>37</v>
      </c>
      <c r="E44" s="10" t="s">
        <v>4</v>
      </c>
    </row>
    <row r="45" customFormat="false" ht="35.05" hidden="false" customHeight="false" outlineLevel="0" collapsed="false">
      <c r="A45" s="10" t="s">
        <v>168</v>
      </c>
      <c r="B45" s="10" t="s">
        <v>169</v>
      </c>
      <c r="C45" s="10" t="s">
        <v>170</v>
      </c>
      <c r="D45" s="10" t="s">
        <v>82</v>
      </c>
      <c r="E45" s="10" t="s">
        <v>4</v>
      </c>
    </row>
    <row r="46" customFormat="false" ht="15" hidden="false" customHeight="false" outlineLevel="0" collapsed="false">
      <c r="A46" s="10" t="s">
        <v>171</v>
      </c>
      <c r="B46" s="10" t="s">
        <v>172</v>
      </c>
      <c r="C46" s="10" t="s">
        <v>173</v>
      </c>
      <c r="D46" s="10" t="s">
        <v>100</v>
      </c>
      <c r="E46" s="10" t="s">
        <v>4</v>
      </c>
    </row>
    <row r="47" customFormat="false" ht="15" hidden="false" customHeight="false" outlineLevel="0" collapsed="false">
      <c r="A47" s="10" t="s">
        <v>174</v>
      </c>
      <c r="B47" s="10" t="s">
        <v>175</v>
      </c>
      <c r="C47" s="10" t="s">
        <v>176</v>
      </c>
      <c r="D47" s="10" t="s">
        <v>177</v>
      </c>
      <c r="E47" s="10" t="s">
        <v>4</v>
      </c>
    </row>
    <row r="48" customFormat="false" ht="15" hidden="false" customHeight="false" outlineLevel="0" collapsed="false">
      <c r="A48" s="10" t="s">
        <v>178</v>
      </c>
      <c r="B48" s="10" t="s">
        <v>179</v>
      </c>
      <c r="C48" s="10" t="s">
        <v>180</v>
      </c>
      <c r="D48" s="10" t="s">
        <v>181</v>
      </c>
      <c r="E48" s="10" t="s">
        <v>4</v>
      </c>
    </row>
    <row r="49" customFormat="false" ht="23.85" hidden="false" customHeight="false" outlineLevel="0" collapsed="false">
      <c r="A49" s="10" t="s">
        <v>182</v>
      </c>
      <c r="B49" s="10" t="s">
        <v>183</v>
      </c>
      <c r="C49" s="10" t="s">
        <v>184</v>
      </c>
      <c r="D49" s="10" t="s">
        <v>37</v>
      </c>
      <c r="E49" s="10" t="s">
        <v>4</v>
      </c>
    </row>
    <row r="50" customFormat="false" ht="15" hidden="false" customHeight="false" outlineLevel="0" collapsed="false">
      <c r="A50" s="10" t="s">
        <v>185</v>
      </c>
      <c r="B50" s="10" t="s">
        <v>186</v>
      </c>
      <c r="C50" s="10" t="s">
        <v>187</v>
      </c>
      <c r="D50" s="10" t="s">
        <v>100</v>
      </c>
      <c r="E50" s="10" t="s">
        <v>4</v>
      </c>
    </row>
    <row r="51" customFormat="false" ht="35.05" hidden="false" customHeight="false" outlineLevel="0" collapsed="false">
      <c r="A51" s="10" t="s">
        <v>188</v>
      </c>
      <c r="B51" s="10" t="s">
        <v>189</v>
      </c>
      <c r="C51" s="10" t="s">
        <v>190</v>
      </c>
      <c r="D51" s="10" t="s">
        <v>82</v>
      </c>
      <c r="E51" s="10" t="s">
        <v>4</v>
      </c>
    </row>
    <row r="52" customFormat="false" ht="23.85" hidden="false" customHeight="false" outlineLevel="0" collapsed="false">
      <c r="A52" s="10" t="s">
        <v>191</v>
      </c>
      <c r="B52" s="10" t="s">
        <v>192</v>
      </c>
      <c r="C52" s="10" t="s">
        <v>193</v>
      </c>
      <c r="D52" s="10" t="s">
        <v>37</v>
      </c>
      <c r="E52" s="10" t="s">
        <v>4</v>
      </c>
    </row>
    <row r="53" customFormat="false" ht="23.85" hidden="false" customHeight="false" outlineLevel="0" collapsed="false">
      <c r="A53" s="10" t="s">
        <v>194</v>
      </c>
      <c r="B53" s="10" t="s">
        <v>195</v>
      </c>
      <c r="C53" s="10" t="s">
        <v>196</v>
      </c>
      <c r="D53" s="10" t="s">
        <v>53</v>
      </c>
      <c r="E53" s="10" t="s">
        <v>4</v>
      </c>
    </row>
    <row r="54" customFormat="false" ht="35.05" hidden="false" customHeight="false" outlineLevel="0" collapsed="false">
      <c r="A54" s="10" t="s">
        <v>197</v>
      </c>
      <c r="B54" s="10" t="s">
        <v>198</v>
      </c>
      <c r="C54" s="10" t="s">
        <v>199</v>
      </c>
      <c r="D54" s="10" t="s">
        <v>53</v>
      </c>
      <c r="E54" s="10" t="s">
        <v>4</v>
      </c>
    </row>
    <row r="55" customFormat="false" ht="23.85" hidden="false" customHeight="false" outlineLevel="0" collapsed="false">
      <c r="A55" s="10" t="s">
        <v>200</v>
      </c>
      <c r="B55" s="10" t="s">
        <v>201</v>
      </c>
      <c r="C55" s="10" t="s">
        <v>202</v>
      </c>
      <c r="D55" s="10" t="s">
        <v>37</v>
      </c>
      <c r="E55" s="10" t="s">
        <v>4</v>
      </c>
    </row>
    <row r="56" customFormat="false" ht="23.85" hidden="false" customHeight="false" outlineLevel="0" collapsed="false">
      <c r="A56" s="10" t="s">
        <v>203</v>
      </c>
      <c r="B56" s="10" t="s">
        <v>204</v>
      </c>
      <c r="C56" s="10" t="s">
        <v>205</v>
      </c>
      <c r="D56" s="10" t="s">
        <v>206</v>
      </c>
      <c r="E56" s="10" t="s">
        <v>4</v>
      </c>
    </row>
    <row r="57" customFormat="false" ht="23.85" hidden="false" customHeight="false" outlineLevel="0" collapsed="false">
      <c r="A57" s="10" t="s">
        <v>207</v>
      </c>
      <c r="B57" s="10" t="s">
        <v>208</v>
      </c>
      <c r="C57" s="10" t="s">
        <v>209</v>
      </c>
      <c r="D57" s="10" t="s">
        <v>82</v>
      </c>
      <c r="E57" s="10" t="s">
        <v>4</v>
      </c>
    </row>
    <row r="58" customFormat="false" ht="23.85" hidden="false" customHeight="false" outlineLevel="0" collapsed="false">
      <c r="A58" s="10" t="s">
        <v>210</v>
      </c>
      <c r="B58" s="10" t="s">
        <v>211</v>
      </c>
      <c r="C58" s="10" t="s">
        <v>212</v>
      </c>
      <c r="D58" s="10" t="s">
        <v>37</v>
      </c>
      <c r="E58" s="10" t="s">
        <v>4</v>
      </c>
    </row>
    <row r="59" customFormat="false" ht="23.85" hidden="false" customHeight="false" outlineLevel="0" collapsed="false">
      <c r="A59" s="10" t="s">
        <v>213</v>
      </c>
      <c r="B59" s="10" t="s">
        <v>214</v>
      </c>
      <c r="C59" s="10" t="s">
        <v>215</v>
      </c>
      <c r="D59" s="10" t="s">
        <v>37</v>
      </c>
      <c r="E59" s="10" t="s">
        <v>4</v>
      </c>
    </row>
    <row r="60" customFormat="false" ht="35.05" hidden="false" customHeight="false" outlineLevel="0" collapsed="false">
      <c r="A60" s="10" t="s">
        <v>216</v>
      </c>
      <c r="B60" s="10" t="s">
        <v>217</v>
      </c>
      <c r="C60" s="10" t="s">
        <v>218</v>
      </c>
      <c r="D60" s="10" t="s">
        <v>90</v>
      </c>
      <c r="E60" s="10" t="s">
        <v>4</v>
      </c>
    </row>
    <row r="61" customFormat="false" ht="23.85" hidden="false" customHeight="false" outlineLevel="0" collapsed="false">
      <c r="A61" s="10" t="s">
        <v>219</v>
      </c>
      <c r="B61" s="10" t="s">
        <v>220</v>
      </c>
      <c r="C61" s="10" t="s">
        <v>221</v>
      </c>
      <c r="D61" s="10" t="s">
        <v>82</v>
      </c>
      <c r="E61" s="10" t="s">
        <v>4</v>
      </c>
    </row>
    <row r="62" customFormat="false" ht="23.85" hidden="false" customHeight="false" outlineLevel="0" collapsed="false">
      <c r="A62" s="10" t="s">
        <v>222</v>
      </c>
      <c r="B62" s="10" t="s">
        <v>223</v>
      </c>
      <c r="C62" s="10" t="s">
        <v>224</v>
      </c>
      <c r="D62" s="10" t="s">
        <v>53</v>
      </c>
      <c r="E62" s="10" t="s">
        <v>4</v>
      </c>
    </row>
    <row r="63" customFormat="false" ht="35.05" hidden="false" customHeight="false" outlineLevel="0" collapsed="false">
      <c r="A63" s="10" t="s">
        <v>225</v>
      </c>
      <c r="B63" s="10" t="s">
        <v>226</v>
      </c>
      <c r="C63" s="10" t="s">
        <v>227</v>
      </c>
      <c r="D63" s="10" t="s">
        <v>53</v>
      </c>
      <c r="E63" s="10" t="s">
        <v>4</v>
      </c>
    </row>
    <row r="64" customFormat="false" ht="23.85" hidden="false" customHeight="false" outlineLevel="0" collapsed="false">
      <c r="A64" s="10" t="s">
        <v>228</v>
      </c>
      <c r="B64" s="10" t="s">
        <v>229</v>
      </c>
      <c r="C64" s="10" t="s">
        <v>230</v>
      </c>
      <c r="D64" s="10" t="s">
        <v>53</v>
      </c>
      <c r="E64" s="10" t="s">
        <v>4</v>
      </c>
    </row>
    <row r="65" customFormat="false" ht="23.85" hidden="false" customHeight="false" outlineLevel="0" collapsed="false">
      <c r="A65" s="10" t="s">
        <v>231</v>
      </c>
      <c r="B65" s="10" t="s">
        <v>232</v>
      </c>
      <c r="C65" s="10" t="s">
        <v>233</v>
      </c>
      <c r="D65" s="10" t="s">
        <v>37</v>
      </c>
      <c r="E65" s="10" t="s">
        <v>4</v>
      </c>
    </row>
    <row r="66" customFormat="false" ht="23.85" hidden="false" customHeight="false" outlineLevel="0" collapsed="false">
      <c r="A66" s="10" t="s">
        <v>234</v>
      </c>
      <c r="B66" s="10" t="s">
        <v>235</v>
      </c>
      <c r="C66" s="10" t="s">
        <v>236</v>
      </c>
      <c r="D66" s="10" t="s">
        <v>100</v>
      </c>
      <c r="E66" s="10" t="s">
        <v>4</v>
      </c>
    </row>
    <row r="67" customFormat="false" ht="23.85" hidden="false" customHeight="false" outlineLevel="0" collapsed="false">
      <c r="A67" s="10" t="s">
        <v>237</v>
      </c>
      <c r="B67" s="10" t="s">
        <v>238</v>
      </c>
      <c r="C67" s="10" t="s">
        <v>239</v>
      </c>
      <c r="D67" s="10" t="s">
        <v>100</v>
      </c>
      <c r="E67" s="10" t="s">
        <v>4</v>
      </c>
    </row>
    <row r="68" customFormat="false" ht="23.85" hidden="false" customHeight="false" outlineLevel="0" collapsed="false">
      <c r="A68" s="10" t="s">
        <v>240</v>
      </c>
      <c r="B68" s="10" t="s">
        <v>241</v>
      </c>
      <c r="C68" s="10" t="s">
        <v>242</v>
      </c>
      <c r="D68" s="10" t="s">
        <v>37</v>
      </c>
      <c r="E68" s="10" t="s">
        <v>4</v>
      </c>
    </row>
    <row r="69" customFormat="false" ht="23.85" hidden="false" customHeight="false" outlineLevel="0" collapsed="false">
      <c r="A69" s="10" t="s">
        <v>243</v>
      </c>
      <c r="B69" s="10" t="s">
        <v>244</v>
      </c>
      <c r="C69" s="10" t="s">
        <v>245</v>
      </c>
      <c r="D69" s="10" t="s">
        <v>82</v>
      </c>
      <c r="E69" s="10" t="s">
        <v>4</v>
      </c>
    </row>
    <row r="70" customFormat="false" ht="15" hidden="false" customHeight="false" outlineLevel="0" collapsed="false">
      <c r="A70" s="10" t="s">
        <v>246</v>
      </c>
      <c r="B70" s="10" t="s">
        <v>247</v>
      </c>
      <c r="C70" s="10" t="s">
        <v>248</v>
      </c>
      <c r="D70" s="10" t="s">
        <v>82</v>
      </c>
      <c r="E70" s="10" t="s">
        <v>4</v>
      </c>
    </row>
    <row r="71" customFormat="false" ht="15" hidden="false" customHeight="false" outlineLevel="0" collapsed="false">
      <c r="A71" s="10" t="s">
        <v>249</v>
      </c>
      <c r="B71" s="10" t="s">
        <v>250</v>
      </c>
      <c r="C71" s="10" t="s">
        <v>251</v>
      </c>
      <c r="D71" s="10" t="s">
        <v>82</v>
      </c>
      <c r="E71" s="10" t="s">
        <v>4</v>
      </c>
    </row>
    <row r="72" customFormat="false" ht="23.85" hidden="false" customHeight="false" outlineLevel="0" collapsed="false">
      <c r="A72" s="10" t="s">
        <v>252</v>
      </c>
      <c r="B72" s="10" t="s">
        <v>253</v>
      </c>
      <c r="C72" s="10" t="s">
        <v>254</v>
      </c>
      <c r="D72" s="10" t="s">
        <v>82</v>
      </c>
      <c r="E72" s="10" t="s">
        <v>4</v>
      </c>
    </row>
    <row r="73" customFormat="false" ht="15" hidden="false" customHeight="false" outlineLevel="0" collapsed="false">
      <c r="A73" s="10" t="s">
        <v>255</v>
      </c>
      <c r="B73" s="10" t="s">
        <v>256</v>
      </c>
      <c r="C73" s="10" t="s">
        <v>257</v>
      </c>
      <c r="D73" s="10" t="s">
        <v>258</v>
      </c>
      <c r="E73" s="10" t="s">
        <v>4</v>
      </c>
    </row>
    <row r="74" customFormat="false" ht="15" hidden="false" customHeight="false" outlineLevel="0" collapsed="false">
      <c r="A74" s="10" t="s">
        <v>259</v>
      </c>
      <c r="B74" s="10" t="s">
        <v>260</v>
      </c>
      <c r="C74" s="10" t="s">
        <v>261</v>
      </c>
      <c r="D74" s="10" t="s">
        <v>82</v>
      </c>
      <c r="E74" s="10" t="s">
        <v>4</v>
      </c>
    </row>
    <row r="75" customFormat="false" ht="23.85" hidden="false" customHeight="false" outlineLevel="0" collapsed="false">
      <c r="A75" s="10" t="s">
        <v>262</v>
      </c>
      <c r="B75" s="10" t="s">
        <v>263</v>
      </c>
      <c r="C75" s="10" t="s">
        <v>264</v>
      </c>
      <c r="D75" s="10" t="s">
        <v>82</v>
      </c>
      <c r="E75" s="10" t="s">
        <v>4</v>
      </c>
    </row>
    <row r="76" customFormat="false" ht="23.85" hidden="false" customHeight="false" outlineLevel="0" collapsed="false">
      <c r="A76" s="10" t="s">
        <v>265</v>
      </c>
      <c r="B76" s="10" t="s">
        <v>266</v>
      </c>
      <c r="C76" s="10" t="s">
        <v>267</v>
      </c>
      <c r="D76" s="10" t="s">
        <v>100</v>
      </c>
      <c r="E76" s="10" t="s">
        <v>4</v>
      </c>
    </row>
    <row r="77" customFormat="false" ht="35.05" hidden="false" customHeight="false" outlineLevel="0" collapsed="false">
      <c r="A77" s="10" t="s">
        <v>268</v>
      </c>
      <c r="B77" s="10" t="s">
        <v>269</v>
      </c>
      <c r="C77" s="10" t="s">
        <v>137</v>
      </c>
      <c r="D77" s="10" t="s">
        <v>37</v>
      </c>
      <c r="E77" s="10" t="s">
        <v>4</v>
      </c>
    </row>
    <row r="78" customFormat="false" ht="35.05" hidden="false" customHeight="false" outlineLevel="0" collapsed="false">
      <c r="A78" s="10" t="s">
        <v>270</v>
      </c>
      <c r="B78" s="10" t="s">
        <v>271</v>
      </c>
      <c r="C78" s="10" t="s">
        <v>272</v>
      </c>
      <c r="D78" s="10" t="s">
        <v>37</v>
      </c>
      <c r="E78" s="10" t="s">
        <v>4</v>
      </c>
    </row>
    <row r="79" customFormat="false" ht="35.05" hidden="false" customHeight="false" outlineLevel="0" collapsed="false">
      <c r="A79" s="10" t="s">
        <v>273</v>
      </c>
      <c r="B79" s="10" t="s">
        <v>274</v>
      </c>
      <c r="C79" s="10" t="s">
        <v>275</v>
      </c>
      <c r="D79" s="10" t="s">
        <v>37</v>
      </c>
      <c r="E79" s="10" t="s">
        <v>4</v>
      </c>
    </row>
    <row r="80" customFormat="false" ht="35.05" hidden="false" customHeight="false" outlineLevel="0" collapsed="false">
      <c r="A80" s="10" t="s">
        <v>276</v>
      </c>
      <c r="B80" s="10" t="s">
        <v>277</v>
      </c>
      <c r="C80" s="10" t="s">
        <v>278</v>
      </c>
      <c r="D80" s="10" t="s">
        <v>37</v>
      </c>
      <c r="E80" s="10" t="s">
        <v>4</v>
      </c>
    </row>
    <row r="81" customFormat="false" ht="15" hidden="false" customHeight="false" outlineLevel="0" collapsed="false">
      <c r="A81" s="10" t="s">
        <v>279</v>
      </c>
      <c r="B81" s="10" t="s">
        <v>280</v>
      </c>
      <c r="C81" s="10" t="s">
        <v>281</v>
      </c>
      <c r="D81" s="10" t="s">
        <v>282</v>
      </c>
      <c r="E81" s="10" t="s">
        <v>4</v>
      </c>
    </row>
    <row r="82" customFormat="false" ht="35.05" hidden="false" customHeight="false" outlineLevel="0" collapsed="false">
      <c r="A82" s="10" t="s">
        <v>283</v>
      </c>
      <c r="B82" s="10" t="s">
        <v>284</v>
      </c>
      <c r="C82" s="10" t="s">
        <v>285</v>
      </c>
      <c r="D82" s="10" t="s">
        <v>57</v>
      </c>
      <c r="E82" s="10" t="s">
        <v>4</v>
      </c>
    </row>
    <row r="83" customFormat="false" ht="35.05" hidden="false" customHeight="false" outlineLevel="0" collapsed="false">
      <c r="A83" s="10" t="s">
        <v>286</v>
      </c>
      <c r="B83" s="10" t="s">
        <v>287</v>
      </c>
      <c r="C83" s="10" t="s">
        <v>288</v>
      </c>
      <c r="D83" s="10" t="s">
        <v>53</v>
      </c>
      <c r="E83" s="10" t="s">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8"/>
    <col collapsed="false" customWidth="true" hidden="false" outlineLevel="0" max="4" min="4" style="0" width="9"/>
    <col collapsed="false" customWidth="true" hidden="false" outlineLevel="0" max="6" min="5" style="0" width="13"/>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2"/>
    <col collapsed="false" customWidth="true" hidden="false" outlineLevel="0" max="11" min="11" style="0" width="30"/>
    <col collapsed="false" customWidth="true" hidden="false" outlineLevel="0" max="12" min="12" style="0" width="9"/>
    <col collapsed="false" customWidth="true" hidden="false" outlineLevel="0" max="13" min="13" style="0" width="11"/>
    <col collapsed="false" customWidth="true" hidden="false" outlineLevel="0" max="14" min="14" style="0" width="34"/>
  </cols>
  <sheetData>
    <row r="1" customFormat="false" ht="23.85" hidden="false" customHeight="false" outlineLevel="0" collapsed="false">
      <c r="A1" s="9" t="s">
        <v>289</v>
      </c>
      <c r="B1" s="9" t="s">
        <v>290</v>
      </c>
      <c r="C1" s="9" t="s">
        <v>291</v>
      </c>
      <c r="D1" s="9" t="s">
        <v>292</v>
      </c>
      <c r="E1" s="9" t="s">
        <v>293</v>
      </c>
      <c r="F1" s="9" t="s">
        <v>294</v>
      </c>
      <c r="G1" s="9" t="s">
        <v>295</v>
      </c>
      <c r="H1" s="9" t="s">
        <v>296</v>
      </c>
      <c r="I1" s="9" t="s">
        <v>297</v>
      </c>
      <c r="J1" s="9" t="s">
        <v>298</v>
      </c>
      <c r="K1" s="9" t="s">
        <v>299</v>
      </c>
      <c r="L1" s="9" t="s">
        <v>300</v>
      </c>
      <c r="M1" s="9" t="s">
        <v>301</v>
      </c>
      <c r="N1" s="9" t="s">
        <v>302</v>
      </c>
    </row>
    <row r="2" customFormat="false" ht="15" hidden="false" customHeight="false" outlineLevel="0" collapsed="false">
      <c r="A2" s="10" t="s">
        <v>303</v>
      </c>
      <c r="B2" s="10" t="s">
        <v>304</v>
      </c>
      <c r="C2" s="11" t="n">
        <v>11.5</v>
      </c>
      <c r="D2" s="11" t="n">
        <v>0</v>
      </c>
      <c r="E2" s="11" t="n">
        <v>80</v>
      </c>
      <c r="F2" s="11" t="n">
        <v>0.92</v>
      </c>
      <c r="G2" s="10" t="s">
        <v>305</v>
      </c>
      <c r="H2" s="10" t="s">
        <v>97</v>
      </c>
      <c r="I2" s="10" t="s">
        <v>30</v>
      </c>
      <c r="J2" s="12" t="s">
        <v>306</v>
      </c>
      <c r="K2" s="10" t="s">
        <v>307</v>
      </c>
      <c r="L2" s="11" t="n">
        <v>-1.65</v>
      </c>
      <c r="M2" s="11" t="n">
        <v>0</v>
      </c>
      <c r="N2" s="10" t="s">
        <v>308</v>
      </c>
    </row>
    <row r="3" customFormat="false" ht="15" hidden="false" customHeight="false" outlineLevel="0" collapsed="false">
      <c r="A3" s="10" t="s">
        <v>309</v>
      </c>
      <c r="B3" s="10" t="s">
        <v>310</v>
      </c>
      <c r="C3" s="11" t="n">
        <v>11.5</v>
      </c>
      <c r="D3" s="11" t="n">
        <v>0</v>
      </c>
      <c r="E3" s="11" t="n">
        <v>100</v>
      </c>
      <c r="F3" s="11" t="n">
        <v>0.92</v>
      </c>
      <c r="G3" s="10" t="s">
        <v>305</v>
      </c>
      <c r="H3" s="10" t="s">
        <v>97</v>
      </c>
      <c r="I3" s="10" t="s">
        <v>30</v>
      </c>
      <c r="J3" s="12" t="s">
        <v>306</v>
      </c>
      <c r="K3" s="10" t="s">
        <v>307</v>
      </c>
      <c r="L3" s="11" t="n">
        <v>-1.65</v>
      </c>
      <c r="M3" s="11" t="n">
        <v>0</v>
      </c>
      <c r="N3" s="10" t="s">
        <v>311</v>
      </c>
    </row>
    <row r="4" customFormat="false" ht="15" hidden="false" customHeight="false" outlineLevel="0" collapsed="false">
      <c r="A4" s="10" t="s">
        <v>312</v>
      </c>
      <c r="B4" s="10" t="s">
        <v>313</v>
      </c>
      <c r="C4" s="11" t="n">
        <v>14.5</v>
      </c>
      <c r="D4" s="11" t="n">
        <v>1577</v>
      </c>
      <c r="E4" s="11" t="n">
        <v>90</v>
      </c>
      <c r="F4" s="11" t="n">
        <v>0.95</v>
      </c>
      <c r="G4" s="10" t="s">
        <v>314</v>
      </c>
      <c r="H4" s="10"/>
      <c r="I4" s="10" t="s">
        <v>30</v>
      </c>
      <c r="J4" s="12" t="s">
        <v>306</v>
      </c>
      <c r="K4" s="10" t="s">
        <v>315</v>
      </c>
      <c r="L4" s="11" t="n">
        <v>5.11</v>
      </c>
      <c r="M4" s="11" t="n">
        <v>-2391</v>
      </c>
      <c r="N4" s="10" t="s">
        <v>316</v>
      </c>
    </row>
    <row r="5" customFormat="false" ht="15" hidden="false" customHeight="false" outlineLevel="0" collapsed="false">
      <c r="A5" s="10" t="s">
        <v>317</v>
      </c>
      <c r="B5" s="10" t="s">
        <v>318</v>
      </c>
      <c r="C5" s="11" t="n">
        <v>13.1</v>
      </c>
      <c r="D5" s="11" t="n">
        <v>1577</v>
      </c>
      <c r="E5" s="11" t="n">
        <v>120</v>
      </c>
      <c r="F5" s="11" t="n">
        <v>0.9</v>
      </c>
      <c r="G5" s="10" t="s">
        <v>306</v>
      </c>
      <c r="H5" s="10" t="s">
        <v>87</v>
      </c>
      <c r="I5" s="10" t="s">
        <v>30</v>
      </c>
      <c r="J5" s="12" t="s">
        <v>306</v>
      </c>
      <c r="K5" s="10" t="s">
        <v>319</v>
      </c>
      <c r="L5" s="11" t="n">
        <v>4.53</v>
      </c>
      <c r="M5" s="11" t="n">
        <v>-2391</v>
      </c>
      <c r="N5" s="10" t="s">
        <v>320</v>
      </c>
    </row>
    <row r="6" customFormat="false" ht="15" hidden="false" customHeight="false" outlineLevel="0" collapsed="false">
      <c r="A6" s="10" t="s">
        <v>321</v>
      </c>
      <c r="B6" s="10" t="s">
        <v>322</v>
      </c>
      <c r="C6" s="11" t="n">
        <v>11.5</v>
      </c>
      <c r="D6" s="11" t="n">
        <v>0</v>
      </c>
      <c r="E6" s="11" t="n">
        <v>100</v>
      </c>
      <c r="F6" s="11" t="n">
        <v>0.9</v>
      </c>
      <c r="G6" s="10" t="s">
        <v>306</v>
      </c>
      <c r="H6" s="10" t="s">
        <v>87</v>
      </c>
      <c r="I6" s="10" t="s">
        <v>30</v>
      </c>
      <c r="J6" s="12" t="s">
        <v>306</v>
      </c>
      <c r="K6" s="10" t="s">
        <v>323</v>
      </c>
      <c r="L6" s="11" t="n">
        <v>4.79</v>
      </c>
      <c r="M6" s="11" t="n">
        <v>-2391</v>
      </c>
      <c r="N6" s="10" t="s">
        <v>324</v>
      </c>
    </row>
    <row r="7" customFormat="false" ht="15" hidden="false" customHeight="false" outlineLevel="0" collapsed="false">
      <c r="A7" s="10" t="s">
        <v>325</v>
      </c>
      <c r="B7" s="10" t="s">
        <v>326</v>
      </c>
      <c r="C7" s="11" t="n">
        <v>-1</v>
      </c>
      <c r="D7" s="11" t="n">
        <v>0</v>
      </c>
      <c r="E7" s="11" t="n">
        <v>70</v>
      </c>
      <c r="F7" s="11" t="n">
        <v>1.05</v>
      </c>
      <c r="G7" s="10" t="s">
        <v>305</v>
      </c>
      <c r="H7" s="10" t="s">
        <v>97</v>
      </c>
      <c r="I7" s="10" t="s">
        <v>30</v>
      </c>
      <c r="J7" s="12" t="s">
        <v>306</v>
      </c>
      <c r="K7" s="10" t="s">
        <v>327</v>
      </c>
      <c r="L7" s="11" t="n">
        <v>2.04</v>
      </c>
      <c r="M7" s="11" t="n">
        <v>-2391</v>
      </c>
      <c r="N7" s="10" t="s">
        <v>328</v>
      </c>
    </row>
    <row r="8" customFormat="false" ht="15" hidden="false" customHeight="false" outlineLevel="0" collapsed="false">
      <c r="A8" s="10" t="s">
        <v>329</v>
      </c>
      <c r="B8" s="10" t="s">
        <v>330</v>
      </c>
      <c r="C8" s="11" t="n">
        <v>1</v>
      </c>
      <c r="D8" s="11" t="n">
        <v>0</v>
      </c>
      <c r="E8" s="11" t="n">
        <v>70</v>
      </c>
      <c r="F8" s="11" t="n">
        <v>1.05</v>
      </c>
      <c r="G8" s="10" t="s">
        <v>305</v>
      </c>
      <c r="H8" s="10" t="s">
        <v>97</v>
      </c>
      <c r="I8" s="10" t="s">
        <v>30</v>
      </c>
      <c r="J8" s="12" t="s">
        <v>306</v>
      </c>
      <c r="K8" s="10" t="s">
        <v>331</v>
      </c>
      <c r="L8" s="11" t="n">
        <v>-7.11</v>
      </c>
      <c r="M8" s="11" t="n">
        <v>0</v>
      </c>
      <c r="N8" s="10" t="s">
        <v>328</v>
      </c>
    </row>
    <row r="9" customFormat="false" ht="15" hidden="false" customHeight="false" outlineLevel="0" collapsed="false">
      <c r="A9" s="10" t="s">
        <v>332</v>
      </c>
      <c r="B9" s="10" t="s">
        <v>333</v>
      </c>
      <c r="C9" s="11" t="n">
        <v>6.4</v>
      </c>
      <c r="D9" s="11" t="n">
        <v>1577</v>
      </c>
      <c r="E9" s="11" t="n">
        <v>175</v>
      </c>
      <c r="F9" s="11" t="n">
        <v>1.35</v>
      </c>
      <c r="G9" s="10" t="s">
        <v>306</v>
      </c>
      <c r="H9" s="10" t="s">
        <v>34</v>
      </c>
      <c r="I9" s="10" t="s">
        <v>334</v>
      </c>
      <c r="J9" s="12" t="s">
        <v>306</v>
      </c>
      <c r="K9" s="10" t="s">
        <v>335</v>
      </c>
      <c r="L9" s="11" t="n">
        <v>0</v>
      </c>
      <c r="M9" s="11" t="n">
        <v>-2391</v>
      </c>
      <c r="N9" s="10" t="s">
        <v>335</v>
      </c>
    </row>
    <row r="10" customFormat="false" ht="15" hidden="false" customHeight="false" outlineLevel="0" collapsed="false">
      <c r="A10" s="10" t="s">
        <v>336</v>
      </c>
      <c r="B10" s="10" t="s">
        <v>337</v>
      </c>
      <c r="C10" s="11" t="n">
        <v>3.1</v>
      </c>
      <c r="D10" s="11" t="n">
        <v>1577</v>
      </c>
      <c r="E10" s="11" t="n">
        <v>70</v>
      </c>
      <c r="F10" s="11" t="n">
        <v>1.35</v>
      </c>
      <c r="G10" s="10" t="s">
        <v>306</v>
      </c>
      <c r="H10" s="10" t="s">
        <v>34</v>
      </c>
      <c r="I10" s="10" t="s">
        <v>334</v>
      </c>
      <c r="J10" s="12" t="s">
        <v>306</v>
      </c>
      <c r="K10" s="10" t="s">
        <v>335</v>
      </c>
      <c r="L10" s="11" t="n">
        <v>0</v>
      </c>
      <c r="M10" s="11" t="n">
        <v>-2391</v>
      </c>
      <c r="N10" s="10" t="s">
        <v>335</v>
      </c>
    </row>
    <row r="11" customFormat="false" ht="15" hidden="false" customHeight="false" outlineLevel="0" collapsed="false">
      <c r="A11" s="10" t="s">
        <v>338</v>
      </c>
      <c r="B11" s="10" t="s">
        <v>339</v>
      </c>
      <c r="C11" s="11" t="n">
        <v>5</v>
      </c>
      <c r="D11" s="11" t="n">
        <v>1577</v>
      </c>
      <c r="E11" s="11" t="n">
        <v>175</v>
      </c>
      <c r="F11" s="11"/>
      <c r="G11" s="10"/>
      <c r="H11" s="10"/>
      <c r="I11" s="10" t="s">
        <v>30</v>
      </c>
      <c r="J11" s="12" t="s">
        <v>306</v>
      </c>
      <c r="K11" s="10" t="s">
        <v>340</v>
      </c>
      <c r="L11" s="11" t="n">
        <v>-1.16</v>
      </c>
      <c r="M11" s="11" t="n">
        <v>-2391</v>
      </c>
      <c r="N11" s="10" t="s">
        <v>335</v>
      </c>
    </row>
    <row r="12" customFormat="false" ht="15" hidden="false" customHeight="false" outlineLevel="0" collapsed="false">
      <c r="A12" s="10" t="s">
        <v>341</v>
      </c>
      <c r="B12" s="10" t="s">
        <v>342</v>
      </c>
      <c r="C12" s="11" t="n">
        <v>0</v>
      </c>
      <c r="D12" s="11" t="n">
        <v>0</v>
      </c>
      <c r="E12" s="11" t="n">
        <v>100</v>
      </c>
      <c r="F12" s="11"/>
      <c r="G12" s="10"/>
      <c r="H12" s="10"/>
      <c r="I12" s="10" t="s">
        <v>30</v>
      </c>
      <c r="J12" s="12" t="s">
        <v>306</v>
      </c>
      <c r="K12" s="10" t="s">
        <v>343</v>
      </c>
      <c r="L12" s="11" t="n">
        <v>-5.4</v>
      </c>
      <c r="M12" s="11" t="n">
        <v>0</v>
      </c>
      <c r="N12" s="10" t="s">
        <v>344</v>
      </c>
    </row>
    <row r="13" customFormat="false" ht="15" hidden="false" customHeight="false" outlineLevel="0" collapsed="false">
      <c r="A13" s="10" t="s">
        <v>345</v>
      </c>
      <c r="B13" s="10" t="s">
        <v>346</v>
      </c>
      <c r="C13" s="11" t="n">
        <v>2</v>
      </c>
      <c r="D13" s="11" t="n">
        <v>0</v>
      </c>
      <c r="E13" s="11" t="n">
        <v>100</v>
      </c>
      <c r="F13" s="11"/>
      <c r="G13" s="10"/>
      <c r="H13" s="10"/>
      <c r="I13" s="10" t="s">
        <v>30</v>
      </c>
      <c r="J13" s="12" t="s">
        <v>306</v>
      </c>
      <c r="K13" s="10" t="s">
        <v>343</v>
      </c>
      <c r="L13" s="11" t="n">
        <v>-5.4</v>
      </c>
      <c r="M13" s="11" t="n">
        <v>0</v>
      </c>
      <c r="N13" s="10" t="s">
        <v>344</v>
      </c>
    </row>
    <row r="14" customFormat="false" ht="15" hidden="false" customHeight="false" outlineLevel="0" collapsed="false">
      <c r="A14" s="10" t="s">
        <v>347</v>
      </c>
      <c r="B14" s="10" t="s">
        <v>348</v>
      </c>
      <c r="C14" s="11" t="n">
        <v>-1</v>
      </c>
      <c r="D14" s="11" t="n">
        <v>0</v>
      </c>
      <c r="E14" s="11" t="n">
        <v>70</v>
      </c>
      <c r="F14" s="11"/>
      <c r="G14" s="10"/>
      <c r="H14" s="10"/>
      <c r="I14" s="10" t="s">
        <v>30</v>
      </c>
      <c r="J14" s="12" t="s">
        <v>306</v>
      </c>
      <c r="K14" s="10" t="s">
        <v>349</v>
      </c>
      <c r="L14" s="11" t="n">
        <v>-11.9</v>
      </c>
      <c r="M14" s="11" t="n">
        <v>1676</v>
      </c>
      <c r="N14" s="10" t="s">
        <v>350</v>
      </c>
    </row>
    <row r="16" customFormat="false" ht="15" hidden="false" customHeight="false" outlineLevel="0" collapsed="false">
      <c r="A16" s="2" t="s">
        <v>351</v>
      </c>
    </row>
    <row r="17" customFormat="false" ht="15" hidden="false" customHeight="false" outlineLevel="0" collapsed="false">
      <c r="A17" s="13" t="s">
        <v>352</v>
      </c>
    </row>
    <row r="18" customFormat="false" ht="15" hidden="false" customHeight="false" outlineLevel="0" collapsed="false">
      <c r="A18" s="13" t="s">
        <v>353</v>
      </c>
    </row>
    <row r="19" customFormat="false" ht="15" hidden="false" customHeight="false" outlineLevel="0" collapsed="false">
      <c r="A19" s="13" t="s">
        <v>354</v>
      </c>
    </row>
    <row r="20" customFormat="false" ht="15" hidden="false" customHeight="false" outlineLevel="0" collapsed="false">
      <c r="A20" s="13" t="s">
        <v>355</v>
      </c>
      <c r="F20" s="14" t="n">
        <f aca="false">10000*EXP(INDEX(C2:C14,MATCH("PP",A2:A14,0))-INDEX(D2:D14,MATCH("PP",A2:A14,0))/373.15-0.1351*390.57^(2/3)+0.003*390.57-10454/373.15)</f>
        <v>1.15003588187114E-007</v>
      </c>
      <c r="G20" s="13" t="s">
        <v>356</v>
      </c>
    </row>
    <row r="21" customFormat="false" ht="15" hidden="false" customHeight="false" outlineLevel="0" collapsed="false">
      <c r="A21" s="13" t="s">
        <v>357</v>
      </c>
      <c r="F21" s="14" t="n">
        <f aca="false">10000*10^(6.39-2.49*LOG10(390.57)+INDEX(L2:L14,MATCH("PP",A2:A14,0))+(INDEX(M2:M14,MATCH("PP",A2:A14,0))-3486)/373.15)</f>
        <v>5.21160235737413E-008</v>
      </c>
      <c r="G21" s="13" t="s">
        <v>356</v>
      </c>
    </row>
    <row r="22" customFormat="false" ht="15" hidden="false" customHeight="false" outlineLevel="0" collapsed="false">
      <c r="A22" s="13" t="s">
        <v>358</v>
      </c>
      <c r="F22" s="15" t="n">
        <f aca="false">F20/F21</f>
        <v>2.2066838622941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2"/>
    <col collapsed="false" customWidth="true" hidden="false" outlineLevel="0" max="4" min="4" style="0" width="10"/>
    <col collapsed="false" customWidth="true" hidden="false" outlineLevel="0" max="5" min="5" style="0" width="8"/>
    <col collapsed="false" customWidth="true" hidden="false" outlineLevel="0" max="6" min="6" style="0" width="18"/>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26"/>
    <col collapsed="false" customWidth="true" hidden="false" outlineLevel="0" max="13" min="13" style="0" width="10"/>
    <col collapsed="false" customWidth="true" hidden="false" outlineLevel="0" max="14" min="14" style="0" width="60"/>
  </cols>
  <sheetData>
    <row r="1" customFormat="false" ht="35.05" hidden="false" customHeight="false" outlineLevel="0" collapsed="false">
      <c r="A1" s="9" t="s">
        <v>289</v>
      </c>
      <c r="B1" s="9" t="s">
        <v>359</v>
      </c>
      <c r="C1" s="9" t="s">
        <v>360</v>
      </c>
      <c r="D1" s="9" t="s">
        <v>361</v>
      </c>
      <c r="E1" s="9" t="s">
        <v>362</v>
      </c>
      <c r="F1" s="9" t="s">
        <v>363</v>
      </c>
      <c r="G1" s="9" t="s">
        <v>364</v>
      </c>
      <c r="H1" s="9" t="s">
        <v>365</v>
      </c>
      <c r="I1" s="9" t="s">
        <v>366</v>
      </c>
      <c r="J1" s="9" t="s">
        <v>367</v>
      </c>
      <c r="K1" s="9" t="s">
        <v>368</v>
      </c>
      <c r="L1" s="9" t="s">
        <v>298</v>
      </c>
      <c r="M1" s="9" t="s">
        <v>19</v>
      </c>
      <c r="N1" s="9" t="s">
        <v>369</v>
      </c>
    </row>
    <row r="2" customFormat="false" ht="23.85" hidden="false" customHeight="false" outlineLevel="0" collapsed="false">
      <c r="A2" s="10" t="s">
        <v>370</v>
      </c>
      <c r="B2" s="10" t="s">
        <v>371</v>
      </c>
      <c r="C2" s="10" t="s">
        <v>372</v>
      </c>
      <c r="D2" s="11" t="n">
        <v>390.57</v>
      </c>
      <c r="E2" s="11" t="n">
        <v>7.5</v>
      </c>
      <c r="F2" s="10" t="s">
        <v>373</v>
      </c>
      <c r="G2" s="11" t="n">
        <v>1</v>
      </c>
      <c r="H2" s="10" t="s">
        <v>374</v>
      </c>
      <c r="I2" s="11"/>
      <c r="J2" s="11"/>
      <c r="K2" s="11" t="n">
        <v>1</v>
      </c>
      <c r="L2" s="12" t="s">
        <v>306</v>
      </c>
      <c r="M2" s="10" t="s">
        <v>375</v>
      </c>
      <c r="N2" s="10" t="s">
        <v>376</v>
      </c>
    </row>
    <row r="3" customFormat="false" ht="15" hidden="false" customHeight="false" outlineLevel="0" collapsed="false">
      <c r="A3" s="10" t="s">
        <v>377</v>
      </c>
      <c r="B3" s="10" t="s">
        <v>378</v>
      </c>
      <c r="C3" s="10" t="s">
        <v>379</v>
      </c>
      <c r="D3" s="11" t="n">
        <v>278.3</v>
      </c>
      <c r="E3" s="11" t="n">
        <v>4.46</v>
      </c>
      <c r="F3" s="10" t="s">
        <v>373</v>
      </c>
      <c r="G3" s="11" t="n">
        <v>5</v>
      </c>
      <c r="H3" s="10" t="s">
        <v>374</v>
      </c>
      <c r="I3" s="11"/>
      <c r="J3" s="11"/>
      <c r="K3" s="11" t="n">
        <v>1</v>
      </c>
      <c r="L3" s="12" t="s">
        <v>306</v>
      </c>
      <c r="M3" s="10" t="s">
        <v>380</v>
      </c>
      <c r="N3" s="10" t="s">
        <v>381</v>
      </c>
    </row>
    <row r="4" customFormat="false" ht="46.25" hidden="false" customHeight="false" outlineLevel="0" collapsed="false">
      <c r="A4" s="10" t="s">
        <v>382</v>
      </c>
      <c r="B4" s="10" t="s">
        <v>383</v>
      </c>
      <c r="C4" s="10" t="s">
        <v>384</v>
      </c>
      <c r="D4" s="11" t="n">
        <v>278.3</v>
      </c>
      <c r="E4" s="11" t="n">
        <v>4.11</v>
      </c>
      <c r="F4" s="10" t="s">
        <v>373</v>
      </c>
      <c r="G4" s="11" t="n">
        <v>4</v>
      </c>
      <c r="H4" s="10" t="s">
        <v>374</v>
      </c>
      <c r="I4" s="11"/>
      <c r="J4" s="11"/>
      <c r="K4" s="11" t="n">
        <v>1</v>
      </c>
      <c r="L4" s="10" t="s">
        <v>385</v>
      </c>
      <c r="M4" s="10" t="s">
        <v>54</v>
      </c>
      <c r="N4" s="10" t="s">
        <v>386</v>
      </c>
    </row>
    <row r="5" customFormat="false" ht="15" hidden="false" customHeight="false" outlineLevel="0" collapsed="false">
      <c r="A5" s="10" t="s">
        <v>387</v>
      </c>
      <c r="B5" s="10" t="s">
        <v>388</v>
      </c>
      <c r="C5" s="10" t="s">
        <v>389</v>
      </c>
      <c r="D5" s="11" t="n">
        <v>312.3</v>
      </c>
      <c r="E5" s="11" t="n">
        <v>4.91</v>
      </c>
      <c r="F5" s="10" t="s">
        <v>373</v>
      </c>
      <c r="G5" s="11" t="n">
        <v>0.1</v>
      </c>
      <c r="H5" s="10" t="s">
        <v>374</v>
      </c>
      <c r="I5" s="11"/>
      <c r="J5" s="11"/>
      <c r="K5" s="11" t="n">
        <v>1</v>
      </c>
      <c r="L5" s="12" t="s">
        <v>306</v>
      </c>
      <c r="M5" s="10" t="s">
        <v>380</v>
      </c>
      <c r="N5" s="10" t="s">
        <v>390</v>
      </c>
    </row>
    <row r="6" customFormat="false" ht="23.85" hidden="false" customHeight="false" outlineLevel="0" collapsed="false">
      <c r="A6" s="10" t="s">
        <v>391</v>
      </c>
      <c r="B6" s="10" t="s">
        <v>392</v>
      </c>
      <c r="C6" s="10" t="s">
        <v>393</v>
      </c>
      <c r="D6" s="11" t="n">
        <v>121.76</v>
      </c>
      <c r="E6" s="11"/>
      <c r="F6" s="10" t="s">
        <v>394</v>
      </c>
      <c r="G6" s="11" t="n">
        <v>1</v>
      </c>
      <c r="H6" s="10" t="s">
        <v>395</v>
      </c>
      <c r="I6" s="11" t="n">
        <v>360000000000000</v>
      </c>
      <c r="J6" s="11" t="n">
        <v>188</v>
      </c>
      <c r="K6" s="11" t="n">
        <v>0.62</v>
      </c>
      <c r="L6" s="12" t="s">
        <v>396</v>
      </c>
      <c r="M6" s="10" t="s">
        <v>34</v>
      </c>
      <c r="N6" s="10" t="s">
        <v>397</v>
      </c>
    </row>
    <row r="7" customFormat="false" ht="46.25" hidden="false" customHeight="false" outlineLevel="0" collapsed="false">
      <c r="A7" s="10" t="s">
        <v>398</v>
      </c>
      <c r="B7" s="10" t="s">
        <v>399</v>
      </c>
      <c r="C7" s="10" t="s">
        <v>400</v>
      </c>
      <c r="D7" s="11" t="n">
        <v>646.94</v>
      </c>
      <c r="E7" s="11" t="n">
        <v>15.5</v>
      </c>
      <c r="F7" s="10" t="s">
        <v>401</v>
      </c>
      <c r="G7" s="11" t="n">
        <v>1</v>
      </c>
      <c r="H7" s="10" t="s">
        <v>374</v>
      </c>
      <c r="I7" s="11"/>
      <c r="J7" s="11"/>
      <c r="K7" s="11" t="n">
        <v>1</v>
      </c>
      <c r="L7" s="10" t="s">
        <v>402</v>
      </c>
      <c r="M7" s="10" t="s">
        <v>403</v>
      </c>
      <c r="N7" s="10" t="s">
        <v>404</v>
      </c>
    </row>
    <row r="9" customFormat="false" ht="15" hidden="false" customHeight="false" outlineLevel="0" collapsed="false">
      <c r="A9" s="2" t="s">
        <v>405</v>
      </c>
      <c r="I9" s="16" t="n">
        <f aca="false">I6*EXP(-J6*1000/(8.314462618*373.15))</f>
        <v>1.73788335059056E-012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0"/>
    <col collapsed="false" customWidth="true" hidden="false" outlineLevel="0" max="4" min="4" style="0" width="8"/>
    <col collapsed="false" customWidth="true" hidden="false" outlineLevel="0" max="5" min="5" style="0" width="16"/>
    <col collapsed="false" customWidth="true" hidden="false" outlineLevel="0" max="6" min="6" style="0" width="9"/>
    <col collapsed="false" customWidth="true" hidden="false" outlineLevel="0" max="7" min="7" style="0" width="7"/>
    <col collapsed="false" customWidth="true" hidden="false" outlineLevel="0" max="8" min="8" style="0" width="16"/>
    <col collapsed="false" customWidth="true" hidden="false" outlineLevel="0" max="10" min="9" style="0" width="10"/>
    <col collapsed="false" customWidth="true" hidden="false" outlineLevel="0" max="11" min="11" style="0" width="70"/>
  </cols>
  <sheetData>
    <row r="1" customFormat="false" ht="35.05" hidden="false" customHeight="false" outlineLevel="0" collapsed="false">
      <c r="A1" s="9" t="s">
        <v>289</v>
      </c>
      <c r="B1" s="9" t="s">
        <v>406</v>
      </c>
      <c r="C1" s="9" t="s">
        <v>407</v>
      </c>
      <c r="D1" s="9" t="s">
        <v>408</v>
      </c>
      <c r="E1" s="9" t="s">
        <v>409</v>
      </c>
      <c r="F1" s="9" t="s">
        <v>410</v>
      </c>
      <c r="G1" s="9" t="s">
        <v>411</v>
      </c>
      <c r="H1" s="9" t="s">
        <v>412</v>
      </c>
      <c r="I1" s="9" t="s">
        <v>298</v>
      </c>
      <c r="J1" s="9" t="s">
        <v>19</v>
      </c>
      <c r="K1" s="9" t="s">
        <v>413</v>
      </c>
    </row>
    <row r="2" customFormat="false" ht="23.85" hidden="false" customHeight="false" outlineLevel="0" collapsed="false">
      <c r="A2" s="10" t="s">
        <v>373</v>
      </c>
      <c r="B2" s="10" t="s">
        <v>414</v>
      </c>
      <c r="C2" s="17" t="s">
        <v>415</v>
      </c>
      <c r="D2" s="11" t="n">
        <v>50</v>
      </c>
      <c r="E2" s="10" t="s">
        <v>416</v>
      </c>
      <c r="F2" s="10" t="s">
        <v>417</v>
      </c>
      <c r="G2" s="10" t="n">
        <v>2019</v>
      </c>
      <c r="H2" s="18" t="n">
        <f aca="false">D2*70</f>
        <v>3500</v>
      </c>
      <c r="I2" s="12" t="s">
        <v>306</v>
      </c>
      <c r="J2" s="10" t="s">
        <v>418</v>
      </c>
      <c r="K2" s="10" t="s">
        <v>419</v>
      </c>
    </row>
    <row r="3" customFormat="false" ht="15" hidden="false" customHeight="false" outlineLevel="0" collapsed="false">
      <c r="A3" s="10" t="s">
        <v>394</v>
      </c>
      <c r="B3" s="10" t="s">
        <v>420</v>
      </c>
      <c r="C3" s="17" t="s">
        <v>421</v>
      </c>
      <c r="D3" s="11" t="n">
        <v>6</v>
      </c>
      <c r="E3" s="10" t="s">
        <v>416</v>
      </c>
      <c r="F3" s="10" t="s">
        <v>422</v>
      </c>
      <c r="G3" s="10" t="n">
        <v>2003</v>
      </c>
      <c r="H3" s="18" t="n">
        <f aca="false">D3*70</f>
        <v>420</v>
      </c>
      <c r="I3" s="12" t="s">
        <v>306</v>
      </c>
      <c r="J3" s="10" t="s">
        <v>58</v>
      </c>
      <c r="K3" s="10" t="s">
        <v>423</v>
      </c>
    </row>
    <row r="4" customFormat="false" ht="23.85" hidden="false" customHeight="false" outlineLevel="0" collapsed="false">
      <c r="A4" s="10" t="s">
        <v>401</v>
      </c>
      <c r="B4" s="10" t="s">
        <v>424</v>
      </c>
      <c r="C4" s="17" t="s">
        <v>425</v>
      </c>
      <c r="D4" s="11" t="n">
        <v>1000</v>
      </c>
      <c r="E4" s="10" t="s">
        <v>426</v>
      </c>
      <c r="F4" s="10" t="s">
        <v>427</v>
      </c>
      <c r="G4" s="10" t="n">
        <v>2021</v>
      </c>
      <c r="H4" s="18" t="n">
        <f aca="false">D4*70</f>
        <v>70000</v>
      </c>
      <c r="I4" s="12" t="s">
        <v>306</v>
      </c>
      <c r="J4" s="10" t="s">
        <v>197</v>
      </c>
      <c r="K4" s="10" t="s">
        <v>428</v>
      </c>
    </row>
    <row r="5" customFormat="false" ht="35.05" hidden="false" customHeight="false" outlineLevel="0" collapsed="false">
      <c r="A5" s="10" t="s">
        <v>429</v>
      </c>
      <c r="B5" s="10" t="s">
        <v>430</v>
      </c>
      <c r="C5" s="17" t="s">
        <v>431</v>
      </c>
      <c r="D5" s="11" t="n">
        <v>0.5</v>
      </c>
      <c r="E5" s="10" t="s">
        <v>432</v>
      </c>
      <c r="F5" s="10" t="s">
        <v>417</v>
      </c>
      <c r="G5" s="10" t="n">
        <v>2010</v>
      </c>
      <c r="H5" s="18" t="n">
        <f aca="false">D5*70</f>
        <v>35</v>
      </c>
      <c r="I5" s="12" t="s">
        <v>306</v>
      </c>
      <c r="J5" s="10" t="s">
        <v>194</v>
      </c>
      <c r="K5" s="10" t="s">
        <v>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0"/>
    <col collapsed="false" customWidth="true" hidden="false" outlineLevel="0" max="4" min="4" style="0" width="36"/>
    <col collapsed="false" customWidth="true" hidden="false" outlineLevel="0" max="5" min="5" style="0" width="7"/>
    <col collapsed="false" customWidth="true" hidden="false" outlineLevel="0" max="6" min="6" style="0" width="10"/>
    <col collapsed="false" customWidth="true" hidden="false" outlineLevel="0" max="7" min="7" style="0" width="9"/>
  </cols>
  <sheetData>
    <row r="1" customFormat="false" ht="23.85" hidden="false" customHeight="false" outlineLevel="0" collapsed="false">
      <c r="A1" s="9" t="s">
        <v>434</v>
      </c>
      <c r="B1" s="9" t="s">
        <v>410</v>
      </c>
      <c r="C1" s="9" t="s">
        <v>435</v>
      </c>
      <c r="D1" s="9" t="s">
        <v>409</v>
      </c>
      <c r="E1" s="9" t="s">
        <v>411</v>
      </c>
      <c r="F1" s="9" t="s">
        <v>298</v>
      </c>
      <c r="G1" s="9" t="s">
        <v>19</v>
      </c>
    </row>
    <row r="2" customFormat="false" ht="15" hidden="false" customHeight="false" outlineLevel="0" collapsed="false">
      <c r="A2" s="10" t="s">
        <v>370</v>
      </c>
      <c r="B2" s="10" t="s">
        <v>436</v>
      </c>
      <c r="C2" s="11" t="n">
        <v>20</v>
      </c>
      <c r="D2" s="10" t="s">
        <v>437</v>
      </c>
      <c r="E2" s="10" t="n">
        <v>1987</v>
      </c>
      <c r="F2" s="12" t="s">
        <v>306</v>
      </c>
      <c r="G2" s="10" t="s">
        <v>61</v>
      </c>
    </row>
    <row r="3" customFormat="false" ht="15" hidden="false" customHeight="false" outlineLevel="0" collapsed="false">
      <c r="A3" s="10" t="s">
        <v>377</v>
      </c>
      <c r="B3" s="10" t="s">
        <v>417</v>
      </c>
      <c r="C3" s="11" t="n">
        <v>10</v>
      </c>
      <c r="D3" s="10" t="s">
        <v>438</v>
      </c>
      <c r="E3" s="10" t="n">
        <v>2019</v>
      </c>
      <c r="F3" s="12" t="s">
        <v>306</v>
      </c>
      <c r="G3" s="10" t="s">
        <v>50</v>
      </c>
    </row>
    <row r="4" customFormat="false" ht="15" hidden="false" customHeight="false" outlineLevel="0" collapsed="false">
      <c r="A4" s="10" t="s">
        <v>387</v>
      </c>
      <c r="B4" s="10" t="s">
        <v>417</v>
      </c>
      <c r="C4" s="11" t="n">
        <v>500</v>
      </c>
      <c r="D4" s="10" t="s">
        <v>438</v>
      </c>
      <c r="E4" s="10" t="n">
        <v>2019</v>
      </c>
      <c r="F4" s="12" t="s">
        <v>306</v>
      </c>
      <c r="G4" s="10" t="s">
        <v>50</v>
      </c>
    </row>
    <row r="5" customFormat="false" ht="15" hidden="false" customHeight="false" outlineLevel="0" collapsed="false">
      <c r="A5" s="10" t="s">
        <v>439</v>
      </c>
      <c r="B5" s="10" t="s">
        <v>417</v>
      </c>
      <c r="C5" s="11" t="n">
        <v>150</v>
      </c>
      <c r="D5" s="10" t="s">
        <v>438</v>
      </c>
      <c r="E5" s="10" t="n">
        <v>2019</v>
      </c>
      <c r="F5" s="12" t="s">
        <v>306</v>
      </c>
      <c r="G5" s="10" t="s">
        <v>50</v>
      </c>
    </row>
    <row r="6" customFormat="false" ht="15" hidden="false" customHeight="false" outlineLevel="0" collapsed="false">
      <c r="A6" s="10" t="s">
        <v>440</v>
      </c>
      <c r="B6" s="10" t="s">
        <v>417</v>
      </c>
      <c r="C6" s="11" t="n">
        <v>0.0002</v>
      </c>
      <c r="D6" s="10" t="s">
        <v>441</v>
      </c>
      <c r="E6" s="10" t="n">
        <v>2023</v>
      </c>
      <c r="F6" s="12" t="s">
        <v>306</v>
      </c>
      <c r="G6" s="10"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4" min="3" style="0" width="11"/>
    <col collapsed="false" customWidth="true" hidden="false" outlineLevel="0" max="5" min="5" style="0" width="12"/>
    <col collapsed="false" customWidth="true" hidden="false" outlineLevel="0" max="6" min="6" style="0" width="11"/>
    <col collapsed="false" customWidth="true" hidden="false" outlineLevel="0" max="7" min="7" style="0" width="26"/>
    <col collapsed="false" customWidth="true" hidden="false" outlineLevel="0" max="8" min="8" style="0" width="10"/>
    <col collapsed="false" customWidth="true" hidden="false" outlineLevel="0" max="9" min="9" style="0" width="80"/>
  </cols>
  <sheetData>
    <row r="1" customFormat="false" ht="23.85" hidden="false" customHeight="false" outlineLevel="0" collapsed="false">
      <c r="A1" s="9" t="s">
        <v>442</v>
      </c>
      <c r="B1" s="9" t="s">
        <v>434</v>
      </c>
      <c r="C1" s="9" t="s">
        <v>443</v>
      </c>
      <c r="D1" s="9" t="s">
        <v>444</v>
      </c>
      <c r="E1" s="9" t="s">
        <v>445</v>
      </c>
      <c r="F1" s="9" t="s">
        <v>446</v>
      </c>
      <c r="G1" s="9" t="s">
        <v>298</v>
      </c>
      <c r="H1" s="9" t="s">
        <v>19</v>
      </c>
      <c r="I1" s="9" t="s">
        <v>369</v>
      </c>
    </row>
    <row r="2" customFormat="false" ht="23.85" hidden="false" customHeight="false" outlineLevel="0" collapsed="false">
      <c r="A2" s="10" t="s">
        <v>317</v>
      </c>
      <c r="B2" s="10" t="s">
        <v>377</v>
      </c>
      <c r="C2" s="11" t="n">
        <v>0</v>
      </c>
      <c r="D2" s="11" t="n">
        <v>2.83</v>
      </c>
      <c r="E2" s="18" t="n">
        <f aca="false">(C2+D2)/2</f>
        <v>1.415</v>
      </c>
      <c r="F2" s="10" t="s">
        <v>447</v>
      </c>
      <c r="G2" s="12" t="s">
        <v>448</v>
      </c>
      <c r="H2" s="10" t="s">
        <v>449</v>
      </c>
      <c r="I2" s="10" t="s">
        <v>450</v>
      </c>
    </row>
    <row r="3" customFormat="false" ht="23.85" hidden="false" customHeight="false" outlineLevel="0" collapsed="false">
      <c r="A3" s="10" t="s">
        <v>317</v>
      </c>
      <c r="B3" s="10" t="s">
        <v>382</v>
      </c>
      <c r="C3" s="11" t="n">
        <v>0.237</v>
      </c>
      <c r="D3" s="11" t="n">
        <v>1.84</v>
      </c>
      <c r="E3" s="18" t="n">
        <f aca="false">(C3+D3)/2</f>
        <v>1.0385</v>
      </c>
      <c r="F3" s="10" t="s">
        <v>447</v>
      </c>
      <c r="G3" s="12" t="s">
        <v>448</v>
      </c>
      <c r="H3" s="10" t="s">
        <v>449</v>
      </c>
      <c r="I3" s="10" t="s">
        <v>451</v>
      </c>
    </row>
    <row r="4" customFormat="false" ht="15" hidden="false" customHeight="false" outlineLevel="0" collapsed="false">
      <c r="A4" s="10" t="s">
        <v>317</v>
      </c>
      <c r="B4" s="10" t="s">
        <v>370</v>
      </c>
      <c r="C4" s="11" t="n">
        <v>0</v>
      </c>
      <c r="D4" s="11" t="n">
        <v>2.302</v>
      </c>
      <c r="E4" s="18" t="n">
        <f aca="false">(C4+D4)/2</f>
        <v>1.151</v>
      </c>
      <c r="F4" s="10" t="s">
        <v>447</v>
      </c>
      <c r="G4" s="12" t="s">
        <v>452</v>
      </c>
      <c r="H4" s="10" t="s">
        <v>41</v>
      </c>
      <c r="I4" s="10" t="s">
        <v>453</v>
      </c>
    </row>
    <row r="5" customFormat="false" ht="23.85" hidden="false" customHeight="false" outlineLevel="0" collapsed="false">
      <c r="A5" s="10" t="s">
        <v>454</v>
      </c>
      <c r="B5" s="10" t="s">
        <v>391</v>
      </c>
      <c r="C5" s="11" t="n">
        <v>100</v>
      </c>
      <c r="D5" s="11" t="n">
        <v>400</v>
      </c>
      <c r="E5" s="18" t="n">
        <f aca="false">(C5+D5)/2</f>
        <v>250</v>
      </c>
      <c r="F5" s="10" t="s">
        <v>447</v>
      </c>
      <c r="G5" s="12" t="s">
        <v>306</v>
      </c>
      <c r="H5" s="10" t="s">
        <v>455</v>
      </c>
      <c r="I5" s="10" t="s">
        <v>456</v>
      </c>
    </row>
    <row r="6" customFormat="false" ht="15" hidden="false" customHeight="false" outlineLevel="0" collapsed="false">
      <c r="A6" s="10" t="s">
        <v>457</v>
      </c>
      <c r="B6" s="10" t="s">
        <v>391</v>
      </c>
      <c r="C6" s="11" t="n">
        <v>100</v>
      </c>
      <c r="D6" s="11" t="n">
        <v>400</v>
      </c>
      <c r="E6" s="18" t="n">
        <f aca="false">(C6+D6)/2</f>
        <v>250</v>
      </c>
      <c r="F6" s="10" t="s">
        <v>447</v>
      </c>
      <c r="G6" s="19" t="s">
        <v>314</v>
      </c>
      <c r="H6" s="10" t="s">
        <v>47</v>
      </c>
      <c r="I6" s="10" t="s">
        <v>458</v>
      </c>
    </row>
    <row r="7" customFormat="false" ht="23.85" hidden="false" customHeight="false" outlineLevel="0" collapsed="false">
      <c r="A7" s="10" t="s">
        <v>317</v>
      </c>
      <c r="B7" s="10" t="s">
        <v>398</v>
      </c>
      <c r="C7" s="11" t="n">
        <v>166.47</v>
      </c>
      <c r="D7" s="11" t="n">
        <v>845.27</v>
      </c>
      <c r="E7" s="18" t="n">
        <f aca="false">(C7+D7)/2</f>
        <v>505.87</v>
      </c>
      <c r="F7" s="10" t="s">
        <v>447</v>
      </c>
      <c r="G7" s="12" t="s">
        <v>459</v>
      </c>
      <c r="H7" s="10" t="s">
        <v>200</v>
      </c>
      <c r="I7" s="10" t="s">
        <v>460</v>
      </c>
    </row>
    <row r="8" customFormat="false" ht="15" hidden="false" customHeight="false" outlineLevel="0" collapsed="false">
      <c r="A8" s="10" t="s">
        <v>461</v>
      </c>
      <c r="B8" s="10" t="s">
        <v>398</v>
      </c>
      <c r="C8" s="11" t="n">
        <v>166.47</v>
      </c>
      <c r="D8" s="11" t="n">
        <v>845.27</v>
      </c>
      <c r="E8" s="18" t="n">
        <f aca="false">(C8+D8)/2</f>
        <v>505.87</v>
      </c>
      <c r="F8" s="10" t="s">
        <v>447</v>
      </c>
      <c r="G8" s="12" t="s">
        <v>306</v>
      </c>
      <c r="H8" s="10" t="s">
        <v>200</v>
      </c>
      <c r="I8" s="10" t="s">
        <v>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7" min="4" style="0" width="8"/>
    <col collapsed="false" customWidth="true" hidden="false" outlineLevel="0" max="8" min="8" style="0" width="12"/>
    <col collapsed="false" customWidth="true" hidden="false" outlineLevel="0" max="9" min="9" style="0" width="70"/>
    <col collapsed="false" customWidth="true" hidden="false" outlineLevel="0" max="10" min="10" style="0" width="10"/>
    <col collapsed="false" customWidth="true" hidden="false" outlineLevel="0" max="11" min="11" style="0" width="9"/>
  </cols>
  <sheetData>
    <row r="1" customFormat="false" ht="15" hidden="false" customHeight="false" outlineLevel="0" collapsed="false">
      <c r="A1" s="9" t="s">
        <v>463</v>
      </c>
      <c r="B1" s="9" t="s">
        <v>434</v>
      </c>
      <c r="C1" s="9" t="s">
        <v>363</v>
      </c>
      <c r="D1" s="9" t="s">
        <v>464</v>
      </c>
      <c r="E1" s="9" t="s">
        <v>465</v>
      </c>
      <c r="F1" s="9" t="s">
        <v>466</v>
      </c>
      <c r="G1" s="9" t="s">
        <v>409</v>
      </c>
      <c r="H1" s="9" t="s">
        <v>413</v>
      </c>
      <c r="I1" s="9" t="s">
        <v>467</v>
      </c>
      <c r="J1" s="9" t="s">
        <v>298</v>
      </c>
      <c r="K1" s="9" t="s">
        <v>19</v>
      </c>
    </row>
    <row r="2" customFormat="false" ht="23.85" hidden="false" customHeight="false" outlineLevel="0" collapsed="false">
      <c r="A2" s="10" t="s">
        <v>468</v>
      </c>
      <c r="B2" s="10" t="s">
        <v>469</v>
      </c>
      <c r="C2" s="10" t="s">
        <v>429</v>
      </c>
      <c r="D2" s="11" t="n">
        <v>0.583</v>
      </c>
      <c r="E2" s="11" t="n">
        <v>1.38</v>
      </c>
      <c r="F2" s="11" t="n">
        <v>22.9</v>
      </c>
      <c r="G2" s="10" t="s">
        <v>470</v>
      </c>
      <c r="H2" s="10" t="s">
        <v>471</v>
      </c>
      <c r="I2" s="10" t="s">
        <v>472</v>
      </c>
      <c r="J2" s="12" t="s">
        <v>306</v>
      </c>
      <c r="K2" s="10" t="s">
        <v>191</v>
      </c>
    </row>
    <row r="4" customFormat="false" ht="15" hidden="false" customHeight="false" outlineLevel="0" collapsed="false">
      <c r="A4" s="13" t="s">
        <v>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6"/>
    <col collapsed="false" customWidth="true" hidden="false" outlineLevel="0" max="4" min="4" style="0" width="9"/>
    <col collapsed="false" customWidth="true" hidden="false" outlineLevel="0" max="5" min="5" style="0" width="10"/>
    <col collapsed="false" customWidth="true" hidden="false" outlineLevel="0" max="7" min="6" style="0" width="9"/>
    <col collapsed="false" customWidth="true" hidden="false" outlineLevel="0" max="8" min="8" style="0" width="10"/>
    <col collapsed="false" customWidth="true" hidden="false" outlineLevel="0" max="10" min="9" style="0" width="9"/>
    <col collapsed="false" customWidth="true" hidden="false" outlineLevel="0" max="11" min="11" style="0" width="12"/>
    <col collapsed="false" customWidth="true" hidden="false" outlineLevel="0" max="12" min="12" style="0" width="8"/>
    <col collapsed="false" customWidth="true" hidden="false" outlineLevel="0" max="14" min="13" style="0" width="9"/>
    <col collapsed="false" customWidth="true" hidden="false" outlineLevel="0" max="16" min="15" style="0" width="40"/>
    <col collapsed="false" customWidth="true" hidden="false" outlineLevel="0" max="17" min="17" style="0" width="12"/>
    <col collapsed="false" customWidth="true" hidden="false" outlineLevel="0" max="18" min="18" style="0" width="50"/>
    <col collapsed="false" customWidth="true" hidden="false" outlineLevel="0" max="19" min="19" style="0" width="10"/>
  </cols>
  <sheetData>
    <row r="1" customFormat="false" ht="46.25" hidden="false" customHeight="false" outlineLevel="0" collapsed="false">
      <c r="A1" s="9" t="s">
        <v>289</v>
      </c>
      <c r="B1" s="9" t="s">
        <v>406</v>
      </c>
      <c r="C1" s="9" t="s">
        <v>407</v>
      </c>
      <c r="D1" s="9" t="s">
        <v>298</v>
      </c>
      <c r="E1" s="9" t="s">
        <v>474</v>
      </c>
      <c r="F1" s="9" t="s">
        <v>290</v>
      </c>
      <c r="G1" s="9" t="s">
        <v>294</v>
      </c>
      <c r="H1" s="9" t="s">
        <v>475</v>
      </c>
      <c r="I1" s="9" t="s">
        <v>476</v>
      </c>
      <c r="J1" s="9" t="s">
        <v>477</v>
      </c>
      <c r="K1" s="9" t="s">
        <v>478</v>
      </c>
      <c r="L1" s="9" t="s">
        <v>479</v>
      </c>
      <c r="M1" s="9" t="s">
        <v>480</v>
      </c>
      <c r="N1" s="9" t="s">
        <v>481</v>
      </c>
      <c r="O1" s="9" t="s">
        <v>482</v>
      </c>
      <c r="P1" s="9" t="s">
        <v>483</v>
      </c>
      <c r="Q1" s="9" t="s">
        <v>19</v>
      </c>
      <c r="R1" s="9" t="s">
        <v>484</v>
      </c>
      <c r="S1" s="9" t="s">
        <v>485</v>
      </c>
    </row>
    <row r="2" customFormat="false" ht="23.85" hidden="false" customHeight="false" outlineLevel="0" collapsed="false">
      <c r="A2" s="10" t="s">
        <v>486</v>
      </c>
      <c r="B2" s="10" t="s">
        <v>487</v>
      </c>
      <c r="C2" s="17" t="s">
        <v>488</v>
      </c>
      <c r="D2" s="12" t="s">
        <v>489</v>
      </c>
      <c r="E2" s="10" t="s">
        <v>454</v>
      </c>
      <c r="F2" s="10" t="s">
        <v>332</v>
      </c>
      <c r="G2" s="11" t="n">
        <v>1.35</v>
      </c>
      <c r="H2" s="11" t="n">
        <v>0.031</v>
      </c>
      <c r="I2" s="11" t="n">
        <v>0.025</v>
      </c>
      <c r="J2" s="11" t="n">
        <v>0.06</v>
      </c>
      <c r="K2" s="11" t="n">
        <v>290</v>
      </c>
      <c r="L2" s="10" t="s">
        <v>490</v>
      </c>
      <c r="M2" s="11" t="n">
        <v>204</v>
      </c>
      <c r="N2" s="18" t="n">
        <f aca="false">IF(M2="","",M2*9/5+32)</f>
        <v>399.2</v>
      </c>
      <c r="O2" s="10"/>
      <c r="P2" s="10"/>
      <c r="Q2" s="10" t="s">
        <v>491</v>
      </c>
      <c r="R2" s="10" t="s">
        <v>492</v>
      </c>
      <c r="S2" s="10" t="s">
        <v>493</v>
      </c>
    </row>
    <row r="3" customFormat="false" ht="35.05" hidden="false" customHeight="false" outlineLevel="0" collapsed="false">
      <c r="A3" s="10" t="s">
        <v>494</v>
      </c>
      <c r="B3" s="10" t="s">
        <v>495</v>
      </c>
      <c r="C3" s="17" t="s">
        <v>496</v>
      </c>
      <c r="D3" s="12" t="s">
        <v>489</v>
      </c>
      <c r="E3" s="10" t="s">
        <v>317</v>
      </c>
      <c r="F3" s="10" t="s">
        <v>317</v>
      </c>
      <c r="G3" s="11" t="n">
        <v>0.9</v>
      </c>
      <c r="H3" s="11" t="n">
        <v>0.05</v>
      </c>
      <c r="I3" s="11" t="n">
        <v>0.03</v>
      </c>
      <c r="J3" s="11" t="n">
        <v>0.06</v>
      </c>
      <c r="K3" s="11" t="n">
        <v>250</v>
      </c>
      <c r="L3" s="10" t="s">
        <v>497</v>
      </c>
      <c r="M3" s="11" t="n">
        <v>104</v>
      </c>
      <c r="N3" s="18" t="n">
        <f aca="false">IF(M3="","",M3*9/5+32)</f>
        <v>219.2</v>
      </c>
      <c r="O3" s="10"/>
      <c r="P3" s="10"/>
      <c r="Q3" s="10" t="s">
        <v>498</v>
      </c>
      <c r="R3" s="10" t="s">
        <v>499</v>
      </c>
      <c r="S3" s="10" t="s">
        <v>493</v>
      </c>
    </row>
    <row r="4" customFormat="false" ht="46.25" hidden="false" customHeight="false" outlineLevel="0" collapsed="false">
      <c r="A4" s="10" t="s">
        <v>500</v>
      </c>
      <c r="B4" s="10" t="s">
        <v>501</v>
      </c>
      <c r="C4" s="10" t="s">
        <v>502</v>
      </c>
      <c r="D4" s="12" t="s">
        <v>489</v>
      </c>
      <c r="E4" s="10" t="s">
        <v>457</v>
      </c>
      <c r="F4" s="10" t="s">
        <v>332</v>
      </c>
      <c r="G4" s="11" t="n">
        <v>1.35</v>
      </c>
      <c r="H4" s="11" t="n">
        <v>0.0029</v>
      </c>
      <c r="I4" s="11" t="n">
        <v>0.002</v>
      </c>
      <c r="J4" s="11" t="n">
        <v>0.004</v>
      </c>
      <c r="K4" s="11" t="n">
        <v>290</v>
      </c>
      <c r="L4" s="10" t="s">
        <v>490</v>
      </c>
      <c r="M4" s="11" t="n">
        <v>220</v>
      </c>
      <c r="N4" s="18" t="n">
        <f aca="false">IF(M4="","",M4*9/5+32)</f>
        <v>428</v>
      </c>
      <c r="O4" s="10"/>
      <c r="P4" s="10"/>
      <c r="Q4" s="10" t="s">
        <v>503</v>
      </c>
      <c r="R4" s="10" t="s">
        <v>504</v>
      </c>
      <c r="S4" s="10" t="s">
        <v>493</v>
      </c>
    </row>
    <row r="5" customFormat="false" ht="86.55" hidden="false" customHeight="false" outlineLevel="0" collapsed="false">
      <c r="A5" s="10" t="s">
        <v>505</v>
      </c>
      <c r="B5" s="10" t="s">
        <v>506</v>
      </c>
      <c r="C5" s="17" t="s">
        <v>507</v>
      </c>
      <c r="D5" s="20" t="s">
        <v>508</v>
      </c>
      <c r="E5" s="10"/>
      <c r="F5" s="10"/>
      <c r="G5" s="11"/>
      <c r="H5" s="11"/>
      <c r="I5" s="11"/>
      <c r="J5" s="11"/>
      <c r="K5" s="11" t="n">
        <v>290</v>
      </c>
      <c r="L5" s="10" t="s">
        <v>490</v>
      </c>
      <c r="M5" s="11" t="n">
        <v>204</v>
      </c>
      <c r="N5" s="18" t="n">
        <f aca="false">IF(M5="","",M5*9/5+32)</f>
        <v>399.2</v>
      </c>
      <c r="O5" s="10" t="s">
        <v>509</v>
      </c>
      <c r="P5" s="17" t="s">
        <v>510</v>
      </c>
      <c r="Q5" s="10" t="s">
        <v>511</v>
      </c>
      <c r="R5" s="10" t="s">
        <v>512</v>
      </c>
      <c r="S5" s="10" t="s">
        <v>493</v>
      </c>
    </row>
    <row r="6" customFormat="false" ht="68.65" hidden="false" customHeight="false" outlineLevel="0" collapsed="false">
      <c r="A6" s="10" t="s">
        <v>468</v>
      </c>
      <c r="B6" s="10" t="s">
        <v>513</v>
      </c>
      <c r="C6" s="17" t="s">
        <v>514</v>
      </c>
      <c r="D6" s="12" t="s">
        <v>515</v>
      </c>
      <c r="E6" s="10"/>
      <c r="F6" s="10" t="s">
        <v>303</v>
      </c>
      <c r="G6" s="11" t="n">
        <v>0.92</v>
      </c>
      <c r="H6" s="11" t="n">
        <v>0.00163</v>
      </c>
      <c r="I6" s="11"/>
      <c r="J6" s="11"/>
      <c r="K6" s="11" t="n">
        <v>210</v>
      </c>
      <c r="L6" s="10" t="s">
        <v>516</v>
      </c>
      <c r="M6" s="11" t="n">
        <v>70</v>
      </c>
      <c r="N6" s="18" t="n">
        <f aca="false">IF(M6="","",M6*9/5+32)</f>
        <v>158</v>
      </c>
      <c r="O6" s="10" t="s">
        <v>517</v>
      </c>
      <c r="P6" s="17" t="s">
        <v>518</v>
      </c>
      <c r="Q6" s="10" t="s">
        <v>519</v>
      </c>
      <c r="R6" s="10" t="s">
        <v>520</v>
      </c>
      <c r="S6" s="10" t="s">
        <v>493</v>
      </c>
    </row>
    <row r="7" customFormat="false" ht="46.25" hidden="false" customHeight="false" outlineLevel="0" collapsed="false">
      <c r="A7" s="10" t="s">
        <v>521</v>
      </c>
      <c r="B7" s="10" t="s">
        <v>522</v>
      </c>
      <c r="C7" s="17" t="s">
        <v>523</v>
      </c>
      <c r="D7" s="12" t="s">
        <v>489</v>
      </c>
      <c r="E7" s="10" t="s">
        <v>461</v>
      </c>
      <c r="F7" s="10" t="s">
        <v>317</v>
      </c>
      <c r="G7" s="11" t="n">
        <v>0.9</v>
      </c>
      <c r="H7" s="11" t="n">
        <v>0.0064</v>
      </c>
      <c r="I7" s="11" t="n">
        <v>0.0032</v>
      </c>
      <c r="J7" s="11" t="n">
        <v>0.0095</v>
      </c>
      <c r="K7" s="11" t="n">
        <v>400</v>
      </c>
      <c r="L7" s="10" t="s">
        <v>524</v>
      </c>
      <c r="M7" s="11" t="n">
        <v>120</v>
      </c>
      <c r="N7" s="18" t="n">
        <f aca="false">IF(M7="","",M7*9/5+32)</f>
        <v>248</v>
      </c>
      <c r="O7" s="10"/>
      <c r="P7" s="10"/>
      <c r="Q7" s="10" t="s">
        <v>525</v>
      </c>
      <c r="R7" s="10" t="s">
        <v>526</v>
      </c>
      <c r="S7" s="10" t="s">
        <v>527</v>
      </c>
    </row>
    <row r="8" customFormat="false" ht="68.65" hidden="false" customHeight="false" outlineLevel="0" collapsed="false">
      <c r="A8" s="10" t="s">
        <v>528</v>
      </c>
      <c r="B8" s="10" t="s">
        <v>529</v>
      </c>
      <c r="C8" s="17" t="s">
        <v>530</v>
      </c>
      <c r="D8" s="12" t="s">
        <v>489</v>
      </c>
      <c r="E8" s="10" t="s">
        <v>461</v>
      </c>
      <c r="F8" s="10" t="s">
        <v>317</v>
      </c>
      <c r="G8" s="11" t="n">
        <v>0.9</v>
      </c>
      <c r="H8" s="11" t="n">
        <v>0.0075</v>
      </c>
      <c r="I8" s="11" t="n">
        <v>0.006</v>
      </c>
      <c r="J8" s="11" t="n">
        <v>0.00875</v>
      </c>
      <c r="K8" s="11" t="n">
        <v>300</v>
      </c>
      <c r="L8" s="10" t="s">
        <v>524</v>
      </c>
      <c r="M8" s="11" t="n">
        <v>120</v>
      </c>
      <c r="N8" s="18" t="n">
        <f aca="false">IF(M8="","",M8*9/5+32)</f>
        <v>248</v>
      </c>
      <c r="O8" s="10"/>
      <c r="P8" s="10"/>
      <c r="Q8" s="10" t="s">
        <v>531</v>
      </c>
      <c r="R8" s="10" t="s">
        <v>532</v>
      </c>
      <c r="S8" s="10" t="s">
        <v>493</v>
      </c>
    </row>
    <row r="9" customFormat="false" ht="29.85" hidden="false" customHeight="false" outlineLevel="0" collapsed="false">
      <c r="A9" s="10" t="s">
        <v>533</v>
      </c>
      <c r="B9" s="10" t="s">
        <v>534</v>
      </c>
      <c r="C9" s="17" t="s">
        <v>535</v>
      </c>
      <c r="D9" s="21" t="s">
        <v>536</v>
      </c>
      <c r="E9" s="10" t="s">
        <v>317</v>
      </c>
      <c r="F9" s="10" t="s">
        <v>317</v>
      </c>
      <c r="G9" s="11" t="n">
        <v>0.9</v>
      </c>
      <c r="H9" s="11" t="n">
        <v>0.05</v>
      </c>
      <c r="I9" s="11" t="n">
        <v>0.03</v>
      </c>
      <c r="J9" s="11" t="n">
        <v>0.06</v>
      </c>
      <c r="K9" s="11" t="n">
        <v>250</v>
      </c>
      <c r="L9" s="10" t="s">
        <v>497</v>
      </c>
      <c r="M9" s="11" t="n">
        <v>104</v>
      </c>
      <c r="N9" s="18" t="n">
        <f aca="false">IF(M9="","",M9*9/5+32)</f>
        <v>219.2</v>
      </c>
      <c r="O9" s="10" t="s">
        <v>537</v>
      </c>
      <c r="P9" s="10" t="s">
        <v>538</v>
      </c>
      <c r="Q9" s="10" t="s">
        <v>101</v>
      </c>
      <c r="R9" s="10" t="s">
        <v>539</v>
      </c>
      <c r="S9" s="10" t="s">
        <v>493</v>
      </c>
    </row>
    <row r="10" customFormat="false" ht="29.85" hidden="false" customHeight="false" outlineLevel="0" collapsed="false">
      <c r="A10" s="10" t="s">
        <v>540</v>
      </c>
      <c r="B10" s="10" t="s">
        <v>541</v>
      </c>
      <c r="C10" s="17" t="s">
        <v>542</v>
      </c>
      <c r="D10" s="21" t="s">
        <v>536</v>
      </c>
      <c r="E10" s="10"/>
      <c r="F10" s="10" t="s">
        <v>336</v>
      </c>
      <c r="G10" s="11" t="n">
        <v>1.33</v>
      </c>
      <c r="H10" s="11"/>
      <c r="I10" s="11"/>
      <c r="J10" s="11"/>
      <c r="K10" s="11" t="n">
        <v>250</v>
      </c>
      <c r="L10" s="10" t="s">
        <v>490</v>
      </c>
      <c r="M10" s="11" t="n">
        <v>60</v>
      </c>
      <c r="N10" s="18" t="n">
        <f aca="false">IF(M10="","",M10*9/5+32)</f>
        <v>140</v>
      </c>
      <c r="O10" s="10" t="s">
        <v>543</v>
      </c>
      <c r="P10" s="10" t="s">
        <v>544</v>
      </c>
      <c r="Q10" s="10" t="s">
        <v>545</v>
      </c>
      <c r="R10" s="10"/>
      <c r="S10" s="10" t="s">
        <v>493</v>
      </c>
    </row>
    <row r="11" customFormat="false" ht="29.85" hidden="false" customHeight="false" outlineLevel="0" collapsed="false">
      <c r="A11" s="10" t="s">
        <v>546</v>
      </c>
      <c r="B11" s="10" t="s">
        <v>547</v>
      </c>
      <c r="C11" s="17" t="s">
        <v>548</v>
      </c>
      <c r="D11" s="21" t="s">
        <v>536</v>
      </c>
      <c r="E11" s="10"/>
      <c r="F11" s="10" t="s">
        <v>325</v>
      </c>
      <c r="G11" s="11"/>
      <c r="H11" s="11"/>
      <c r="I11" s="11"/>
      <c r="J11" s="11"/>
      <c r="K11" s="11" t="n">
        <v>250</v>
      </c>
      <c r="L11" s="10" t="s">
        <v>490</v>
      </c>
      <c r="M11" s="11" t="n">
        <v>70</v>
      </c>
      <c r="N11" s="18" t="n">
        <f aca="false">IF(M11="","",M11*9/5+32)</f>
        <v>158</v>
      </c>
      <c r="O11" s="10" t="s">
        <v>537</v>
      </c>
      <c r="P11" s="10" t="s">
        <v>549</v>
      </c>
      <c r="Q11" s="10" t="s">
        <v>550</v>
      </c>
      <c r="R11" s="10" t="s">
        <v>551</v>
      </c>
      <c r="S11" s="10" t="s">
        <v>493</v>
      </c>
    </row>
    <row r="12" customFormat="false" ht="23.85" hidden="false" customHeight="false" outlineLevel="0" collapsed="false">
      <c r="A12" s="10" t="s">
        <v>552</v>
      </c>
      <c r="B12" s="10" t="s">
        <v>553</v>
      </c>
      <c r="C12" s="17" t="s">
        <v>554</v>
      </c>
      <c r="D12" s="21" t="s">
        <v>536</v>
      </c>
      <c r="E12" s="10"/>
      <c r="F12" s="10" t="s">
        <v>325</v>
      </c>
      <c r="G12" s="11" t="n">
        <v>1.05</v>
      </c>
      <c r="H12" s="11"/>
      <c r="I12" s="11"/>
      <c r="J12" s="11"/>
      <c r="K12" s="11" t="n">
        <v>250</v>
      </c>
      <c r="L12" s="10" t="s">
        <v>490</v>
      </c>
      <c r="M12" s="11" t="n">
        <v>77</v>
      </c>
      <c r="N12" s="18" t="n">
        <f aca="false">IF(M12="","",M12*9/5+32)</f>
        <v>170.6</v>
      </c>
      <c r="O12" s="10" t="s">
        <v>555</v>
      </c>
      <c r="P12" s="10" t="s">
        <v>556</v>
      </c>
      <c r="Q12" s="10" t="s">
        <v>91</v>
      </c>
      <c r="R12" s="10"/>
      <c r="S12" s="10" t="s">
        <v>493</v>
      </c>
    </row>
    <row r="13" customFormat="false" ht="29.85" hidden="false" customHeight="false" outlineLevel="0" collapsed="false">
      <c r="A13" s="10" t="s">
        <v>557</v>
      </c>
      <c r="B13" s="10" t="s">
        <v>558</v>
      </c>
      <c r="C13" s="17" t="s">
        <v>559</v>
      </c>
      <c r="D13" s="21" t="s">
        <v>536</v>
      </c>
      <c r="E13" s="10"/>
      <c r="F13" s="10"/>
      <c r="G13" s="11"/>
      <c r="H13" s="11"/>
      <c r="I13" s="11"/>
      <c r="J13" s="11"/>
      <c r="K13" s="11"/>
      <c r="L13" s="10" t="s">
        <v>490</v>
      </c>
      <c r="M13" s="11"/>
      <c r="N13" s="18" t="str">
        <f aca="false">IF(M13="","",M13*9/5+32)</f>
        <v/>
      </c>
      <c r="O13" s="10" t="s">
        <v>560</v>
      </c>
      <c r="P13" s="17" t="s">
        <v>561</v>
      </c>
      <c r="Q13" s="10" t="s">
        <v>562</v>
      </c>
      <c r="R13" s="10" t="s">
        <v>563</v>
      </c>
      <c r="S13" s="10" t="s">
        <v>493</v>
      </c>
    </row>
    <row r="14" customFormat="false" ht="72.35" hidden="false" customHeight="false" outlineLevel="0" collapsed="false">
      <c r="A14" s="10" t="s">
        <v>564</v>
      </c>
      <c r="B14" s="10" t="s">
        <v>565</v>
      </c>
      <c r="C14" s="17" t="s">
        <v>566</v>
      </c>
      <c r="D14" s="21" t="s">
        <v>536</v>
      </c>
      <c r="E14" s="10"/>
      <c r="F14" s="10"/>
      <c r="G14" s="11"/>
      <c r="H14" s="11"/>
      <c r="I14" s="11"/>
      <c r="J14" s="11"/>
      <c r="K14" s="11"/>
      <c r="L14" s="10" t="s">
        <v>497</v>
      </c>
      <c r="M14" s="11"/>
      <c r="N14" s="18" t="str">
        <f aca="false">IF(M14="","",M14*9/5+32)</f>
        <v/>
      </c>
      <c r="O14" s="10" t="s">
        <v>567</v>
      </c>
      <c r="P14" s="17" t="s">
        <v>568</v>
      </c>
      <c r="Q14" s="10" t="s">
        <v>286</v>
      </c>
      <c r="R14" s="10" t="s">
        <v>569</v>
      </c>
      <c r="S14" s="10" t="s">
        <v>493</v>
      </c>
    </row>
    <row r="15" customFormat="false" ht="15" hidden="false" customHeight="false" outlineLevel="0" collapsed="false">
      <c r="A15" s="10" t="s">
        <v>570</v>
      </c>
      <c r="B15" s="10" t="s">
        <v>571</v>
      </c>
      <c r="C15" s="17" t="s">
        <v>572</v>
      </c>
      <c r="D15" s="22" t="s">
        <v>573</v>
      </c>
      <c r="E15" s="10"/>
      <c r="F15" s="10"/>
      <c r="G15" s="11"/>
      <c r="H15" s="11"/>
      <c r="I15" s="11"/>
      <c r="J15" s="11"/>
      <c r="K15" s="11"/>
      <c r="L15" s="10" t="s">
        <v>497</v>
      </c>
      <c r="M15" s="11"/>
      <c r="N15" s="18" t="str">
        <f aca="false">IF(M15="","",M15*9/5+32)</f>
        <v/>
      </c>
      <c r="O15" s="10" t="s">
        <v>574</v>
      </c>
      <c r="P15" s="17" t="s">
        <v>575</v>
      </c>
      <c r="Q15" s="10" t="s">
        <v>101</v>
      </c>
      <c r="R15" s="10" t="s">
        <v>576</v>
      </c>
      <c r="S15" s="10" t="s">
        <v>493</v>
      </c>
    </row>
    <row r="16" customFormat="false" ht="23.85" hidden="false" customHeight="false" outlineLevel="0" collapsed="false">
      <c r="A16" s="10" t="s">
        <v>577</v>
      </c>
      <c r="B16" s="10" t="s">
        <v>578</v>
      </c>
      <c r="C16" s="17" t="s">
        <v>579</v>
      </c>
      <c r="D16" s="22" t="s">
        <v>573</v>
      </c>
      <c r="E16" s="10"/>
      <c r="F16" s="10"/>
      <c r="G16" s="11"/>
      <c r="H16" s="11"/>
      <c r="I16" s="11"/>
      <c r="J16" s="11"/>
      <c r="K16" s="11"/>
      <c r="L16" s="10" t="s">
        <v>580</v>
      </c>
      <c r="M16" s="11"/>
      <c r="N16" s="18" t="str">
        <f aca="false">IF(M16="","",M16*9/5+32)</f>
        <v/>
      </c>
      <c r="O16" s="10" t="s">
        <v>581</v>
      </c>
      <c r="P16" s="17" t="s">
        <v>582</v>
      </c>
      <c r="Q16" s="10" t="s">
        <v>583</v>
      </c>
      <c r="R16" s="10"/>
      <c r="S16" s="10" t="s">
        <v>493</v>
      </c>
    </row>
    <row r="17" customFormat="false" ht="23.85" hidden="false" customHeight="false" outlineLevel="0" collapsed="false">
      <c r="A17" s="10" t="s">
        <v>584</v>
      </c>
      <c r="B17" s="10" t="s">
        <v>585</v>
      </c>
      <c r="C17" s="17" t="s">
        <v>586</v>
      </c>
      <c r="D17" s="22" t="s">
        <v>573</v>
      </c>
      <c r="E17" s="10"/>
      <c r="F17" s="10"/>
      <c r="G17" s="11"/>
      <c r="H17" s="11"/>
      <c r="I17" s="11"/>
      <c r="J17" s="11"/>
      <c r="K17" s="11"/>
      <c r="L17" s="10" t="s">
        <v>587</v>
      </c>
      <c r="M17" s="11"/>
      <c r="N17" s="18" t="str">
        <f aca="false">IF(M17="","",M17*9/5+32)</f>
        <v/>
      </c>
      <c r="O17" s="10" t="s">
        <v>588</v>
      </c>
      <c r="P17" s="17" t="s">
        <v>589</v>
      </c>
      <c r="Q17" s="10"/>
      <c r="R17" s="10"/>
      <c r="S17" s="10" t="s">
        <v>493</v>
      </c>
    </row>
    <row r="18" customFormat="false" ht="100.7" hidden="false" customHeight="false" outlineLevel="0" collapsed="false">
      <c r="A18" s="10" t="s">
        <v>590</v>
      </c>
      <c r="B18" s="10" t="s">
        <v>591</v>
      </c>
      <c r="C18" s="17" t="s">
        <v>592</v>
      </c>
      <c r="D18" s="20" t="s">
        <v>508</v>
      </c>
      <c r="E18" s="10"/>
      <c r="F18" s="10"/>
      <c r="G18" s="11"/>
      <c r="H18" s="11"/>
      <c r="I18" s="11"/>
      <c r="J18" s="11"/>
      <c r="K18" s="11"/>
      <c r="L18" s="10" t="s">
        <v>524</v>
      </c>
      <c r="M18" s="11"/>
      <c r="N18" s="18" t="str">
        <f aca="false">IF(M18="","",M18*9/5+32)</f>
        <v/>
      </c>
      <c r="O18" s="10" t="s">
        <v>593</v>
      </c>
      <c r="P18" s="17" t="s">
        <v>594</v>
      </c>
      <c r="Q18" s="10" t="s">
        <v>595</v>
      </c>
      <c r="R18" s="10" t="s">
        <v>596</v>
      </c>
      <c r="S18" s="10" t="s">
        <v>493</v>
      </c>
    </row>
    <row r="19" customFormat="false" ht="72.35" hidden="false" customHeight="false" outlineLevel="0" collapsed="false">
      <c r="A19" s="10" t="s">
        <v>597</v>
      </c>
      <c r="B19" s="10" t="s">
        <v>598</v>
      </c>
      <c r="C19" s="17" t="s">
        <v>599</v>
      </c>
      <c r="D19" s="20" t="s">
        <v>508</v>
      </c>
      <c r="E19" s="10"/>
      <c r="F19" s="10"/>
      <c r="G19" s="11"/>
      <c r="H19" s="11"/>
      <c r="I19" s="11"/>
      <c r="J19" s="11"/>
      <c r="K19" s="11"/>
      <c r="L19" s="10" t="s">
        <v>600</v>
      </c>
      <c r="M19" s="11"/>
      <c r="N19" s="18" t="str">
        <f aca="false">IF(M19="","",M19*9/5+32)</f>
        <v/>
      </c>
      <c r="O19" s="10" t="s">
        <v>601</v>
      </c>
      <c r="P19" s="10" t="s">
        <v>602</v>
      </c>
      <c r="Q19" s="10" t="s">
        <v>603</v>
      </c>
      <c r="R19" s="10" t="s">
        <v>604</v>
      </c>
      <c r="S19" s="10" t="s">
        <v>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0"/>
    <col collapsed="false" customWidth="true" hidden="false" outlineLevel="0" max="4" min="4" style="0" width="44"/>
    <col collapsed="false" customWidth="true" hidden="false" outlineLevel="0" max="6" min="5" style="0" width="10"/>
    <col collapsed="false" customWidth="true" hidden="false" outlineLevel="0" max="8" min="7" style="0" width="11"/>
    <col collapsed="false" customWidth="true" hidden="false" outlineLevel="0" max="9" min="9" style="0" width="30"/>
    <col collapsed="false" customWidth="true" hidden="false" outlineLevel="0" max="10" min="10" style="0" width="12"/>
    <col collapsed="false" customWidth="true" hidden="false" outlineLevel="0" max="11" min="11" style="0" width="70"/>
  </cols>
  <sheetData>
    <row r="1" customFormat="false" ht="35.05" hidden="false" customHeight="false" outlineLevel="0" collapsed="false">
      <c r="A1" s="9" t="s">
        <v>605</v>
      </c>
      <c r="B1" s="9" t="s">
        <v>606</v>
      </c>
      <c r="C1" s="9" t="s">
        <v>607</v>
      </c>
      <c r="D1" s="9" t="s">
        <v>608</v>
      </c>
      <c r="E1" s="9" t="s">
        <v>609</v>
      </c>
      <c r="F1" s="9" t="s">
        <v>610</v>
      </c>
      <c r="G1" s="9" t="s">
        <v>611</v>
      </c>
      <c r="H1" s="9" t="s">
        <v>612</v>
      </c>
      <c r="I1" s="9" t="s">
        <v>298</v>
      </c>
      <c r="J1" s="9" t="s">
        <v>19</v>
      </c>
      <c r="K1" s="9" t="s">
        <v>369</v>
      </c>
    </row>
    <row r="2" customFormat="false" ht="35.05" hidden="false" customHeight="false" outlineLevel="0" collapsed="false">
      <c r="A2" s="10" t="s">
        <v>613</v>
      </c>
      <c r="B2" s="11" t="n">
        <v>0</v>
      </c>
      <c r="C2" s="11" t="n">
        <v>0.03</v>
      </c>
      <c r="D2" s="10" t="s">
        <v>614</v>
      </c>
      <c r="E2" s="11" t="n">
        <v>10</v>
      </c>
      <c r="F2" s="11" t="n">
        <v>60</v>
      </c>
      <c r="G2" s="11" t="n">
        <v>100</v>
      </c>
      <c r="H2" s="11" t="n">
        <v>100</v>
      </c>
      <c r="I2" s="19" t="s">
        <v>615</v>
      </c>
      <c r="J2" s="10" t="s">
        <v>616</v>
      </c>
      <c r="K2" s="10" t="s">
        <v>617</v>
      </c>
    </row>
    <row r="3" customFormat="false" ht="23.85" hidden="false" customHeight="false" outlineLevel="0" collapsed="false">
      <c r="A3" s="10" t="s">
        <v>618</v>
      </c>
      <c r="B3" s="11" t="n">
        <v>0.03</v>
      </c>
      <c r="C3" s="11" t="n">
        <v>0.1</v>
      </c>
      <c r="D3" s="10" t="s">
        <v>619</v>
      </c>
      <c r="E3" s="11" t="n">
        <v>50</v>
      </c>
      <c r="F3" s="11" t="n">
        <v>80</v>
      </c>
      <c r="G3" s="11" t="n">
        <v>100</v>
      </c>
      <c r="H3" s="11" t="n">
        <v>110</v>
      </c>
      <c r="I3" s="19" t="s">
        <v>314</v>
      </c>
      <c r="J3" s="10" t="s">
        <v>620</v>
      </c>
      <c r="K3" s="10" t="s">
        <v>621</v>
      </c>
    </row>
    <row r="4" customFormat="false" ht="35.05" hidden="false" customHeight="false" outlineLevel="0" collapsed="false">
      <c r="A4" s="10" t="s">
        <v>622</v>
      </c>
      <c r="B4" s="11" t="n">
        <v>0.1</v>
      </c>
      <c r="C4" s="11" t="n">
        <v>1</v>
      </c>
      <c r="D4" s="10" t="s">
        <v>623</v>
      </c>
      <c r="E4" s="11" t="n">
        <v>80</v>
      </c>
      <c r="F4" s="11" t="n">
        <v>100</v>
      </c>
      <c r="G4" s="11" t="n">
        <v>105</v>
      </c>
      <c r="H4" s="11" t="n">
        <v>125</v>
      </c>
      <c r="I4" s="19" t="s">
        <v>624</v>
      </c>
      <c r="J4" s="10" t="s">
        <v>625</v>
      </c>
      <c r="K4" s="10" t="s">
        <v>626</v>
      </c>
    </row>
    <row r="6" customFormat="false" ht="15" hidden="false" customHeight="false" outlineLevel="0" collapsed="false">
      <c r="A6" s="13" t="s">
        <v>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60"/>
  </cols>
  <sheetData>
    <row r="1" customFormat="false" ht="15" hidden="false" customHeight="false" outlineLevel="0" collapsed="false">
      <c r="A1" s="9" t="s">
        <v>628</v>
      </c>
      <c r="B1" s="9" t="s">
        <v>435</v>
      </c>
      <c r="C1" s="9" t="s">
        <v>629</v>
      </c>
    </row>
    <row r="2" customFormat="false" ht="15" hidden="false" customHeight="false" outlineLevel="0" collapsed="false">
      <c r="A2" s="10" t="s">
        <v>630</v>
      </c>
      <c r="B2" s="11" t="n">
        <v>-1.36</v>
      </c>
      <c r="C2" s="10" t="s">
        <v>631</v>
      </c>
    </row>
    <row r="3" customFormat="false" ht="15" hidden="false" customHeight="false" outlineLevel="0" collapsed="false">
      <c r="A3" s="10" t="s">
        <v>632</v>
      </c>
      <c r="B3" s="11" t="n">
        <v>1.06</v>
      </c>
      <c r="C3" s="10" t="s">
        <v>362</v>
      </c>
    </row>
    <row r="4" customFormat="false" ht="15" hidden="false" customHeight="false" outlineLevel="0" collapsed="false">
      <c r="A4" s="10" t="s">
        <v>633</v>
      </c>
      <c r="B4" s="11" t="n">
        <v>-0.014</v>
      </c>
      <c r="C4" s="10" t="s">
        <v>634</v>
      </c>
    </row>
    <row r="5" customFormat="false" ht="15" hidden="false" customHeight="false" outlineLevel="0" collapsed="false">
      <c r="A5" s="10" t="s">
        <v>635</v>
      </c>
      <c r="B5" s="11" t="n">
        <v>-0.0066</v>
      </c>
      <c r="C5" s="10" t="s">
        <v>636</v>
      </c>
    </row>
    <row r="6" customFormat="false" ht="15" hidden="false" customHeight="false" outlineLevel="0" collapsed="false">
      <c r="A6" s="10" t="s">
        <v>637</v>
      </c>
      <c r="B6" s="11" t="n">
        <v>866</v>
      </c>
      <c r="C6" s="10" t="s">
        <v>638</v>
      </c>
    </row>
    <row r="8" customFormat="false" ht="15" hidden="false" customHeight="false" outlineLevel="0" collapsed="false">
      <c r="A8" s="2" t="s">
        <v>639</v>
      </c>
    </row>
    <row r="9" customFormat="false" ht="15" hidden="false" customHeight="false" outlineLevel="0" collapsed="false">
      <c r="A9" s="9" t="s">
        <v>442</v>
      </c>
      <c r="B9" s="9" t="s">
        <v>640</v>
      </c>
    </row>
    <row r="10" customFormat="false" ht="15" hidden="false" customHeight="false" outlineLevel="0" collapsed="false">
      <c r="A10" s="10" t="s">
        <v>641</v>
      </c>
      <c r="B10" s="11" t="n">
        <v>0.15</v>
      </c>
    </row>
    <row r="11" customFormat="false" ht="15" hidden="false" customHeight="false" outlineLevel="0" collapsed="false">
      <c r="A11" s="10" t="s">
        <v>642</v>
      </c>
      <c r="B11" s="11" t="n">
        <v>-0.55</v>
      </c>
    </row>
    <row r="12" customFormat="false" ht="15" hidden="false" customHeight="false" outlineLevel="0" collapsed="false">
      <c r="A12" s="10" t="s">
        <v>324</v>
      </c>
      <c r="B12" s="11" t="n">
        <v>-0.11</v>
      </c>
    </row>
    <row r="13" customFormat="false" ht="15" hidden="false" customHeight="false" outlineLevel="0" collapsed="false">
      <c r="A13" s="10" t="s">
        <v>643</v>
      </c>
      <c r="B13" s="11" t="n">
        <v>0.58</v>
      </c>
    </row>
    <row r="14" customFormat="false" ht="15" hidden="false" customHeight="false" outlineLevel="0" collapsed="false">
      <c r="A14" s="10" t="s">
        <v>316</v>
      </c>
      <c r="B14" s="11" t="n">
        <v>0.035</v>
      </c>
    </row>
    <row r="15" customFormat="false" ht="15" hidden="false" customHeight="false" outlineLevel="0" collapsed="false">
      <c r="A15" s="10" t="s">
        <v>644</v>
      </c>
      <c r="B15" s="11" t="n">
        <v>-0.027</v>
      </c>
    </row>
    <row r="16" customFormat="false" ht="15" hidden="false" customHeight="false" outlineLevel="0" collapsed="false">
      <c r="A16" s="10" t="s">
        <v>311</v>
      </c>
      <c r="B16" s="11" t="n">
        <v>-1.21</v>
      </c>
    </row>
    <row r="17" customFormat="false" ht="15" hidden="false" customHeight="false" outlineLevel="0" collapsed="false">
      <c r="A17" s="10" t="s">
        <v>308</v>
      </c>
      <c r="B17" s="11" t="n">
        <v>0</v>
      </c>
    </row>
    <row r="18" customFormat="false" ht="15" hidden="false" customHeight="false" outlineLevel="0" collapsed="false">
      <c r="A18" s="10" t="s">
        <v>344</v>
      </c>
      <c r="B18" s="11" t="n">
        <v>-0.92</v>
      </c>
    </row>
    <row r="19" customFormat="false" ht="15" hidden="false" customHeight="false" outlineLevel="0" collapsed="false">
      <c r="A19" s="10" t="s">
        <v>645</v>
      </c>
      <c r="B19" s="11" t="n">
        <v>0.39</v>
      </c>
    </row>
    <row r="20" customFormat="false" ht="15" hidden="false" customHeight="false" outlineLevel="0" collapsed="false">
      <c r="A20" s="10" t="s">
        <v>646</v>
      </c>
      <c r="B20" s="11" t="n">
        <v>0.85</v>
      </c>
    </row>
    <row r="21" customFormat="false" ht="15" hidden="false" customHeight="false" outlineLevel="0" collapsed="false">
      <c r="A21" s="10" t="s">
        <v>647</v>
      </c>
      <c r="B21" s="11" t="n">
        <v>0.01</v>
      </c>
    </row>
    <row r="22" customFormat="false" ht="15" hidden="false" customHeight="false" outlineLevel="0" collapsed="false">
      <c r="A22" s="10" t="s">
        <v>335</v>
      </c>
      <c r="B22" s="11" t="n">
        <v>-0.892</v>
      </c>
    </row>
    <row r="23" customFormat="false" ht="15" hidden="false" customHeight="false" outlineLevel="0" collapsed="false">
      <c r="A23" s="10" t="s">
        <v>648</v>
      </c>
      <c r="B23" s="11" t="n">
        <v>-0.14</v>
      </c>
    </row>
    <row r="24" customFormat="false" ht="15" hidden="false" customHeight="false" outlineLevel="0" collapsed="false">
      <c r="A24" s="10" t="s">
        <v>320</v>
      </c>
      <c r="B24" s="11" t="n">
        <v>-0.5</v>
      </c>
    </row>
    <row r="25" customFormat="false" ht="15" hidden="false" customHeight="false" outlineLevel="0" collapsed="false">
      <c r="A25" s="10" t="s">
        <v>328</v>
      </c>
      <c r="B25" s="11" t="n">
        <v>0.84</v>
      </c>
    </row>
    <row r="26" customFormat="false" ht="15" hidden="false" customHeight="false" outlineLevel="0" collapsed="false">
      <c r="A26" s="10" t="s">
        <v>350</v>
      </c>
      <c r="B26" s="11" t="n">
        <v>0.49</v>
      </c>
    </row>
    <row r="27" customFormat="false" ht="15" hidden="false" customHeight="false" outlineLevel="0" collapsed="false">
      <c r="A27" s="10" t="s">
        <v>649</v>
      </c>
      <c r="B27" s="11" t="n">
        <v>0.39</v>
      </c>
    </row>
    <row r="28" customFormat="false" ht="15" hidden="false" customHeight="false" outlineLevel="0" collapsed="false">
      <c r="A28" s="10" t="s">
        <v>650</v>
      </c>
      <c r="B28" s="11" t="n">
        <v>-1.83</v>
      </c>
    </row>
    <row r="30" customFormat="false" ht="15" hidden="false" customHeight="false" outlineLevel="0" collapsed="false">
      <c r="A30" s="2" t="s">
        <v>651</v>
      </c>
    </row>
    <row r="31" customFormat="false" ht="35.05" hidden="false" customHeight="false" outlineLevel="0" collapsed="false">
      <c r="A31" s="9" t="s">
        <v>652</v>
      </c>
      <c r="B31" s="9" t="s">
        <v>653</v>
      </c>
      <c r="C31" s="9" t="s">
        <v>654</v>
      </c>
      <c r="D31" s="9" t="s">
        <v>655</v>
      </c>
      <c r="E31" s="9" t="s">
        <v>656</v>
      </c>
    </row>
    <row r="32" customFormat="false" ht="15" hidden="false" customHeight="false" outlineLevel="0" collapsed="false">
      <c r="A32" s="10" t="n">
        <v>0</v>
      </c>
      <c r="B32" s="10" t="n">
        <v>20</v>
      </c>
      <c r="C32" s="10" t="n">
        <v>0.38</v>
      </c>
      <c r="D32" s="11" t="n">
        <v>8.91</v>
      </c>
      <c r="E32" s="10" t="n">
        <v>881</v>
      </c>
    </row>
    <row r="33" customFormat="false" ht="15" hidden="false" customHeight="false" outlineLevel="0" collapsed="false">
      <c r="A33" s="10" t="n">
        <v>20</v>
      </c>
      <c r="B33" s="10" t="n">
        <v>60</v>
      </c>
      <c r="C33" s="10" t="n">
        <v>0.35</v>
      </c>
      <c r="D33" s="11" t="n">
        <v>10.16</v>
      </c>
      <c r="E33" s="10" t="n">
        <v>421</v>
      </c>
    </row>
    <row r="34" customFormat="false" ht="15" hidden="false" customHeight="false" outlineLevel="0" collapsed="false">
      <c r="A34" s="10" t="n">
        <v>60</v>
      </c>
      <c r="B34" s="10" t="n">
        <v>90</v>
      </c>
      <c r="C34" s="10" t="n">
        <v>1.36</v>
      </c>
      <c r="D34" s="11" t="n">
        <v>11.15</v>
      </c>
      <c r="E34" s="10" t="n">
        <v>263</v>
      </c>
    </row>
    <row r="35" customFormat="false" ht="15" hidden="false" customHeight="false" outlineLevel="0" collapsed="false">
      <c r="A35" s="10" t="n">
        <v>90</v>
      </c>
      <c r="B35" s="10" t="n">
        <v>100</v>
      </c>
      <c r="C35" s="10" t="n">
        <v>0.32</v>
      </c>
      <c r="D35" s="11" t="n">
        <v>18.10494085</v>
      </c>
      <c r="E35" s="10" t="n">
        <v>316</v>
      </c>
    </row>
    <row r="37" customFormat="false" ht="15" hidden="false" customHeight="false" outlineLevel="0" collapsed="false">
      <c r="A37" s="2" t="s">
        <v>657</v>
      </c>
    </row>
    <row r="38" customFormat="false" ht="15" hidden="false" customHeight="false" outlineLevel="0" collapsed="false">
      <c r="A38" s="13" t="s">
        <v>658</v>
      </c>
      <c r="B38" s="15" t="n">
        <f aca="false">B2+B3*7.5+B4*35+B5*7.5*35+B6*(1/373.15-1/298.15)+INDEX(B10:B28,MATCH("Polypropylene (PP) homopolymer",A10:A28,0))</f>
        <v>3.28370429470052</v>
      </c>
    </row>
    <row r="39" customFormat="false" ht="15" hidden="false" customHeight="false" outlineLevel="0" collapsed="false">
      <c r="A39" s="13" t="s">
        <v>659</v>
      </c>
    </row>
    <row r="41" customFormat="false" ht="15" hidden="false" customHeight="false" outlineLevel="0" collapsed="false">
      <c r="A41" s="13" t="s">
        <v>660</v>
      </c>
    </row>
    <row r="42" customFormat="false" ht="15" hidden="false" customHeight="false" outlineLevel="0" collapsed="false">
      <c r="A42" s="13" t="s">
        <v>661</v>
      </c>
    </row>
    <row r="43" customFormat="false" ht="15" hidden="false" customHeight="false" outlineLevel="0" collapsed="false">
      <c r="A43" s="13" t="s">
        <v>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2"/>
    <col collapsed="false" customWidth="true" hidden="false" outlineLevel="0" max="4" min="4" style="0" width="22"/>
    <col collapsed="false" customWidth="true" hidden="false" outlineLevel="0" max="5" min="5" style="0" width="9"/>
    <col collapsed="false" customWidth="true" hidden="false" outlineLevel="0" max="6" min="6" style="0" width="90"/>
  </cols>
  <sheetData>
    <row r="1" customFormat="false" ht="15" hidden="false" customHeight="false" outlineLevel="0" collapsed="false">
      <c r="A1" s="9" t="s">
        <v>289</v>
      </c>
      <c r="B1" s="9" t="s">
        <v>435</v>
      </c>
      <c r="C1" s="9" t="s">
        <v>409</v>
      </c>
      <c r="D1" s="9" t="s">
        <v>298</v>
      </c>
      <c r="E1" s="9" t="s">
        <v>19</v>
      </c>
      <c r="F1" s="9" t="s">
        <v>369</v>
      </c>
    </row>
    <row r="2" customFormat="false" ht="15" hidden="false" customHeight="false" outlineLevel="0" collapsed="false">
      <c r="A2" s="10" t="s">
        <v>663</v>
      </c>
      <c r="B2" s="11" t="n">
        <v>-18</v>
      </c>
      <c r="C2" s="10" t="s">
        <v>664</v>
      </c>
      <c r="D2" s="19" t="s">
        <v>314</v>
      </c>
      <c r="E2" s="10"/>
      <c r="F2" s="10" t="s">
        <v>665</v>
      </c>
    </row>
    <row r="3" customFormat="false" ht="15" hidden="false" customHeight="false" outlineLevel="0" collapsed="false">
      <c r="A3" s="10" t="s">
        <v>666</v>
      </c>
      <c r="B3" s="11" t="n">
        <v>4</v>
      </c>
      <c r="C3" s="10" t="s">
        <v>664</v>
      </c>
      <c r="D3" s="19" t="s">
        <v>314</v>
      </c>
      <c r="E3" s="10"/>
      <c r="F3" s="10" t="s">
        <v>667</v>
      </c>
    </row>
    <row r="4" customFormat="false" ht="15" hidden="false" customHeight="false" outlineLevel="0" collapsed="false">
      <c r="A4" s="10" t="s">
        <v>668</v>
      </c>
      <c r="B4" s="11" t="n">
        <v>20</v>
      </c>
      <c r="C4" s="10" t="s">
        <v>664</v>
      </c>
      <c r="D4" s="19" t="s">
        <v>314</v>
      </c>
      <c r="E4" s="10"/>
      <c r="F4" s="10" t="s">
        <v>669</v>
      </c>
    </row>
    <row r="5" customFormat="false" ht="15" hidden="false" customHeight="false" outlineLevel="0" collapsed="false">
      <c r="A5" s="10" t="s">
        <v>670</v>
      </c>
      <c r="B5" s="11" t="n">
        <v>0.75</v>
      </c>
      <c r="C5" s="10" t="s">
        <v>671</v>
      </c>
      <c r="D5" s="21" t="s">
        <v>672</v>
      </c>
      <c r="E5" s="10"/>
      <c r="F5" s="10" t="s">
        <v>673</v>
      </c>
    </row>
    <row r="6" customFormat="false" ht="15" hidden="false" customHeight="false" outlineLevel="0" collapsed="false">
      <c r="A6" s="10" t="s">
        <v>674</v>
      </c>
      <c r="B6" s="11" t="n">
        <v>4.187</v>
      </c>
      <c r="C6" s="10" t="s">
        <v>675</v>
      </c>
      <c r="D6" s="12" t="s">
        <v>306</v>
      </c>
      <c r="E6" s="10" t="s">
        <v>116</v>
      </c>
      <c r="F6" s="10" t="s">
        <v>676</v>
      </c>
    </row>
    <row r="7" customFormat="false" ht="15" hidden="false" customHeight="false" outlineLevel="0" collapsed="false">
      <c r="A7" s="10" t="s">
        <v>677</v>
      </c>
      <c r="B7" s="11" t="n">
        <v>1.8</v>
      </c>
      <c r="C7" s="10" t="s">
        <v>675</v>
      </c>
      <c r="D7" s="21" t="s">
        <v>672</v>
      </c>
      <c r="E7" s="10"/>
      <c r="F7" s="10" t="s">
        <v>678</v>
      </c>
    </row>
    <row r="8" customFormat="false" ht="15" hidden="false" customHeight="false" outlineLevel="0" collapsed="false">
      <c r="A8" s="10" t="s">
        <v>679</v>
      </c>
      <c r="B8" s="11" t="n">
        <v>2.05</v>
      </c>
      <c r="C8" s="10" t="s">
        <v>675</v>
      </c>
      <c r="D8" s="12" t="s">
        <v>680</v>
      </c>
      <c r="E8" s="10" t="s">
        <v>116</v>
      </c>
      <c r="F8" s="10" t="s">
        <v>681</v>
      </c>
    </row>
    <row r="9" customFormat="false" ht="15" hidden="false" customHeight="false" outlineLevel="0" collapsed="false">
      <c r="A9" s="10" t="s">
        <v>682</v>
      </c>
      <c r="B9" s="11" t="n">
        <v>333.57</v>
      </c>
      <c r="C9" s="10" t="s">
        <v>683</v>
      </c>
      <c r="D9" s="12" t="s">
        <v>306</v>
      </c>
      <c r="E9" s="10" t="s">
        <v>116</v>
      </c>
      <c r="F9" s="10" t="s">
        <v>684</v>
      </c>
    </row>
    <row r="10" customFormat="false" ht="23.85" hidden="false" customHeight="false" outlineLevel="0" collapsed="false">
      <c r="A10" s="10" t="s">
        <v>685</v>
      </c>
      <c r="B10" s="11" t="n">
        <v>85</v>
      </c>
      <c r="C10" s="10" t="s">
        <v>664</v>
      </c>
      <c r="D10" s="19" t="s">
        <v>314</v>
      </c>
      <c r="E10" s="10" t="s">
        <v>101</v>
      </c>
      <c r="F10" s="10" t="s">
        <v>686</v>
      </c>
    </row>
    <row r="11" customFormat="false" ht="15" hidden="false" customHeight="false" outlineLevel="0" collapsed="false">
      <c r="A11" s="10" t="s">
        <v>687</v>
      </c>
      <c r="B11" s="11" t="n">
        <v>100</v>
      </c>
      <c r="C11" s="10" t="s">
        <v>664</v>
      </c>
      <c r="D11" s="12" t="s">
        <v>306</v>
      </c>
      <c r="E11" s="10" t="s">
        <v>129</v>
      </c>
      <c r="F11" s="10" t="s">
        <v>688</v>
      </c>
    </row>
    <row r="12" customFormat="false" ht="23.85" hidden="false" customHeight="false" outlineLevel="0" collapsed="false">
      <c r="A12" s="10" t="s">
        <v>689</v>
      </c>
      <c r="B12" s="11" t="n">
        <v>15</v>
      </c>
      <c r="C12" s="10" t="s">
        <v>664</v>
      </c>
      <c r="D12" s="19" t="s">
        <v>314</v>
      </c>
      <c r="E12" s="10" t="s">
        <v>120</v>
      </c>
      <c r="F12" s="10" t="s">
        <v>690</v>
      </c>
    </row>
    <row r="13" customFormat="false" ht="15" hidden="false" customHeight="false" outlineLevel="0" collapsed="false">
      <c r="A13" s="10" t="s">
        <v>691</v>
      </c>
      <c r="B13" s="11" t="n">
        <v>10</v>
      </c>
      <c r="C13" s="10" t="s">
        <v>664</v>
      </c>
      <c r="D13" s="19" t="s">
        <v>314</v>
      </c>
      <c r="E13" s="10" t="s">
        <v>120</v>
      </c>
      <c r="F13" s="10" t="s">
        <v>692</v>
      </c>
    </row>
    <row r="14" customFormat="false" ht="15" hidden="false" customHeight="false" outlineLevel="0" collapsed="false">
      <c r="A14" s="10" t="s">
        <v>693</v>
      </c>
      <c r="B14" s="11" t="n">
        <v>20</v>
      </c>
      <c r="C14" s="10" t="s">
        <v>664</v>
      </c>
      <c r="D14" s="19" t="s">
        <v>314</v>
      </c>
      <c r="E14" s="10" t="s">
        <v>120</v>
      </c>
      <c r="F14" s="10" t="s">
        <v>694</v>
      </c>
    </row>
    <row r="15" customFormat="false" ht="15" hidden="false" customHeight="false" outlineLevel="0" collapsed="false">
      <c r="A15" s="10" t="s">
        <v>695</v>
      </c>
      <c r="B15" s="11" t="n">
        <v>0.85</v>
      </c>
      <c r="C15" s="10" t="s">
        <v>696</v>
      </c>
      <c r="D15" s="12" t="s">
        <v>306</v>
      </c>
      <c r="E15" s="10" t="s">
        <v>113</v>
      </c>
      <c r="F15" s="10" t="s">
        <v>697</v>
      </c>
    </row>
    <row r="16" customFormat="false" ht="15" hidden="false" customHeight="false" outlineLevel="0" collapsed="false">
      <c r="A16" s="10" t="s">
        <v>698</v>
      </c>
      <c r="B16" s="11" t="n">
        <v>1.15</v>
      </c>
      <c r="C16" s="10" t="s">
        <v>696</v>
      </c>
      <c r="D16" s="12" t="s">
        <v>306</v>
      </c>
      <c r="E16" s="10" t="s">
        <v>113</v>
      </c>
      <c r="F16" s="10" t="s">
        <v>699</v>
      </c>
    </row>
    <row r="17" customFormat="false" ht="15" hidden="false" customHeight="false" outlineLevel="0" collapsed="false">
      <c r="A17" s="10" t="s">
        <v>700</v>
      </c>
      <c r="B17" s="11" t="n">
        <v>0.8</v>
      </c>
      <c r="C17" s="10" t="s">
        <v>696</v>
      </c>
      <c r="D17" s="19" t="s">
        <v>314</v>
      </c>
      <c r="E17" s="10"/>
      <c r="F17" s="10" t="s">
        <v>701</v>
      </c>
    </row>
    <row r="18" customFormat="false" ht="15" hidden="false" customHeight="false" outlineLevel="0" collapsed="false">
      <c r="A18" s="10" t="s">
        <v>702</v>
      </c>
      <c r="B18" s="11" t="n">
        <v>1.2</v>
      </c>
      <c r="C18" s="10" t="s">
        <v>696</v>
      </c>
      <c r="D18" s="19" t="s">
        <v>314</v>
      </c>
      <c r="E18" s="10"/>
      <c r="F18" s="10" t="s">
        <v>701</v>
      </c>
    </row>
    <row r="19" customFormat="false" ht="15" hidden="false" customHeight="false" outlineLevel="0" collapsed="false">
      <c r="A19" s="10" t="s">
        <v>703</v>
      </c>
      <c r="B19" s="11" t="n">
        <v>300</v>
      </c>
      <c r="C19" s="10" t="s">
        <v>704</v>
      </c>
      <c r="D19" s="19" t="s">
        <v>314</v>
      </c>
      <c r="E19" s="10"/>
      <c r="F19" s="10" t="s">
        <v>705</v>
      </c>
    </row>
    <row r="20" customFormat="false" ht="15" hidden="false" customHeight="false" outlineLevel="0" collapsed="false">
      <c r="A20" s="10" t="s">
        <v>706</v>
      </c>
      <c r="B20" s="11" t="n">
        <v>1</v>
      </c>
      <c r="C20" s="10" t="s">
        <v>707</v>
      </c>
      <c r="D20" s="19" t="s">
        <v>314</v>
      </c>
      <c r="E20" s="10" t="s">
        <v>116</v>
      </c>
      <c r="F20" s="10" t="s">
        <v>708</v>
      </c>
    </row>
    <row r="21" customFormat="false" ht="15" hidden="false" customHeight="false" outlineLevel="0" collapsed="false">
      <c r="A21" s="10" t="s">
        <v>709</v>
      </c>
      <c r="B21" s="11" t="n">
        <v>1100</v>
      </c>
      <c r="C21" s="10" t="s">
        <v>710</v>
      </c>
      <c r="D21" s="19" t="s">
        <v>314</v>
      </c>
      <c r="E21" s="10" t="s">
        <v>110</v>
      </c>
      <c r="F21" s="10" t="s">
        <v>711</v>
      </c>
    </row>
    <row r="22" customFormat="false" ht="15" hidden="false" customHeight="false" outlineLevel="0" collapsed="false">
      <c r="A22" s="10" t="s">
        <v>712</v>
      </c>
      <c r="B22" s="11" t="n">
        <v>10</v>
      </c>
      <c r="C22" s="10" t="s">
        <v>713</v>
      </c>
      <c r="D22" s="19" t="s">
        <v>314</v>
      </c>
      <c r="E22" s="10"/>
      <c r="F22" s="10" t="s">
        <v>714</v>
      </c>
    </row>
    <row r="23" customFormat="false" ht="15" hidden="false" customHeight="false" outlineLevel="0" collapsed="false">
      <c r="A23" s="10" t="s">
        <v>715</v>
      </c>
      <c r="B23" s="11" t="n">
        <v>50</v>
      </c>
      <c r="C23" s="10" t="s">
        <v>664</v>
      </c>
      <c r="D23" s="19" t="s">
        <v>314</v>
      </c>
      <c r="E23" s="10"/>
      <c r="F23" s="10" t="s">
        <v>716</v>
      </c>
    </row>
    <row r="24" customFormat="false" ht="15" hidden="false" customHeight="false" outlineLevel="0" collapsed="false">
      <c r="A24" s="10" t="s">
        <v>717</v>
      </c>
      <c r="B24" s="11" t="n">
        <v>1</v>
      </c>
      <c r="C24" s="10" t="s">
        <v>718</v>
      </c>
      <c r="D24" s="19" t="s">
        <v>314</v>
      </c>
      <c r="E24" s="10"/>
      <c r="F24" s="10" t="s">
        <v>719</v>
      </c>
    </row>
    <row r="25" customFormat="false" ht="15" hidden="false" customHeight="false" outlineLevel="0" collapsed="false">
      <c r="A25" s="10" t="s">
        <v>720</v>
      </c>
      <c r="B25" s="11" t="n">
        <v>0.05</v>
      </c>
      <c r="C25" s="10" t="s">
        <v>696</v>
      </c>
      <c r="D25" s="19" t="s">
        <v>314</v>
      </c>
      <c r="E25" s="10" t="s">
        <v>30</v>
      </c>
      <c r="F25" s="10" t="s">
        <v>721</v>
      </c>
    </row>
    <row r="26" customFormat="false" ht="15" hidden="false" customHeight="false" outlineLevel="0" collapsed="false">
      <c r="A26" s="10" t="s">
        <v>722</v>
      </c>
      <c r="B26" s="11" t="n">
        <v>300</v>
      </c>
      <c r="C26" s="10" t="s">
        <v>696</v>
      </c>
      <c r="D26" s="19" t="s">
        <v>314</v>
      </c>
      <c r="E26" s="10"/>
      <c r="F26" s="10" t="s">
        <v>723</v>
      </c>
    </row>
    <row r="27" customFormat="false" ht="15" hidden="false" customHeight="false" outlineLevel="0" collapsed="false">
      <c r="A27" s="10" t="s">
        <v>724</v>
      </c>
      <c r="B27" s="11" t="n">
        <v>20261026</v>
      </c>
      <c r="C27" s="10" t="s">
        <v>696</v>
      </c>
      <c r="D27" s="19" t="s">
        <v>314</v>
      </c>
      <c r="E27" s="10"/>
      <c r="F27" s="10" t="s">
        <v>725</v>
      </c>
    </row>
    <row r="28" customFormat="false" ht="23.85" hidden="false" customHeight="false" outlineLevel="0" collapsed="false">
      <c r="A28" s="10" t="s">
        <v>726</v>
      </c>
      <c r="B28" s="11" t="n">
        <v>2</v>
      </c>
      <c r="C28" s="10" t="s">
        <v>727</v>
      </c>
      <c r="D28" s="20" t="s">
        <v>728</v>
      </c>
      <c r="E28" s="10" t="s">
        <v>54</v>
      </c>
      <c r="F28" s="10" t="s">
        <v>729</v>
      </c>
    </row>
    <row r="29" customFormat="false" ht="15" hidden="false" customHeight="false" outlineLevel="0" collapsed="false">
      <c r="A29" s="10" t="s">
        <v>730</v>
      </c>
      <c r="B29" s="11" t="n">
        <v>10</v>
      </c>
      <c r="C29" s="10" t="s">
        <v>727</v>
      </c>
      <c r="D29" s="20" t="s">
        <v>728</v>
      </c>
      <c r="E29" s="10" t="s">
        <v>54</v>
      </c>
      <c r="F29" s="10" t="s">
        <v>731</v>
      </c>
    </row>
    <row r="30" customFormat="false" ht="15" hidden="false" customHeight="false" outlineLevel="0" collapsed="false">
      <c r="A30" s="10" t="s">
        <v>732</v>
      </c>
      <c r="B30" s="11" t="n">
        <v>20</v>
      </c>
      <c r="C30" s="10" t="s">
        <v>727</v>
      </c>
      <c r="D30" s="20" t="s">
        <v>728</v>
      </c>
      <c r="E30" s="10" t="s">
        <v>54</v>
      </c>
      <c r="F30" s="10" t="s">
        <v>733</v>
      </c>
    </row>
    <row r="31" customFormat="false" ht="23.85" hidden="false" customHeight="false" outlineLevel="0" collapsed="false">
      <c r="A31" s="10" t="s">
        <v>734</v>
      </c>
      <c r="B31" s="11" t="n">
        <v>0.6</v>
      </c>
      <c r="C31" s="10" t="s">
        <v>696</v>
      </c>
      <c r="D31" s="19" t="s">
        <v>314</v>
      </c>
      <c r="E31" s="10" t="s">
        <v>203</v>
      </c>
      <c r="F31" s="10" t="s">
        <v>735</v>
      </c>
    </row>
    <row r="32" customFormat="false" ht="15" hidden="false" customHeight="false" outlineLevel="0" collapsed="false">
      <c r="A32" s="10" t="s">
        <v>736</v>
      </c>
      <c r="B32" s="11" t="n">
        <v>0.95</v>
      </c>
      <c r="C32" s="10" t="s">
        <v>696</v>
      </c>
      <c r="D32" s="19" t="s">
        <v>314</v>
      </c>
      <c r="E32" s="10" t="s">
        <v>101</v>
      </c>
      <c r="F32" s="10" t="s">
        <v>737</v>
      </c>
    </row>
    <row r="33" customFormat="false" ht="15" hidden="false" customHeight="false" outlineLevel="0" collapsed="false">
      <c r="A33" s="10" t="s">
        <v>738</v>
      </c>
      <c r="B33" s="11" t="n">
        <v>8.314462618</v>
      </c>
      <c r="C33" s="10" t="s">
        <v>739</v>
      </c>
      <c r="D33" s="12" t="s">
        <v>306</v>
      </c>
      <c r="E33" s="10"/>
      <c r="F33" s="10" t="s">
        <v>740</v>
      </c>
    </row>
    <row r="34" customFormat="false" ht="23.85" hidden="false" customHeight="false" outlineLevel="0" collapsed="false">
      <c r="A34" s="10" t="s">
        <v>741</v>
      </c>
      <c r="B34" s="11" t="n">
        <v>0.5</v>
      </c>
      <c r="C34" s="10" t="s">
        <v>696</v>
      </c>
      <c r="D34" s="19" t="s">
        <v>314</v>
      </c>
      <c r="E34" s="10" t="s">
        <v>742</v>
      </c>
      <c r="F34" s="10" t="s">
        <v>743</v>
      </c>
    </row>
    <row r="35" customFormat="false" ht="15" hidden="false" customHeight="false" outlineLevel="0" collapsed="false">
      <c r="A35" s="10" t="s">
        <v>744</v>
      </c>
      <c r="B35" s="11" t="n">
        <v>0</v>
      </c>
      <c r="C35" s="10" t="s">
        <v>696</v>
      </c>
      <c r="D35" s="19" t="s">
        <v>314</v>
      </c>
      <c r="E35" s="10" t="s">
        <v>273</v>
      </c>
      <c r="F35" s="10" t="s">
        <v>745</v>
      </c>
    </row>
    <row r="36" customFormat="false" ht="15" hidden="false" customHeight="false" outlineLevel="0" collapsed="false">
      <c r="A36" s="10" t="s">
        <v>746</v>
      </c>
      <c r="B36" s="11" t="n">
        <v>1</v>
      </c>
      <c r="C36" s="10" t="s">
        <v>696</v>
      </c>
      <c r="D36" s="19" t="s">
        <v>314</v>
      </c>
      <c r="E36" s="10" t="s">
        <v>30</v>
      </c>
      <c r="F36" s="10" t="s">
        <v>747</v>
      </c>
    </row>
    <row r="37" customFormat="false" ht="23.85" hidden="false" customHeight="false" outlineLevel="0" collapsed="false">
      <c r="A37" s="10" t="s">
        <v>748</v>
      </c>
      <c r="B37" s="11" t="n">
        <v>0.79</v>
      </c>
      <c r="C37" s="10" t="s">
        <v>749</v>
      </c>
      <c r="D37" s="20" t="s">
        <v>728</v>
      </c>
      <c r="E37" s="10" t="s">
        <v>268</v>
      </c>
      <c r="F37" s="10" t="s">
        <v>750</v>
      </c>
    </row>
    <row r="38" customFormat="false" ht="15" hidden="false" customHeight="false" outlineLevel="0" collapsed="false">
      <c r="A38" s="10" t="s">
        <v>751</v>
      </c>
      <c r="B38" s="11" t="n">
        <v>298.15</v>
      </c>
      <c r="C38" s="10" t="s">
        <v>752</v>
      </c>
      <c r="D38" s="12" t="s">
        <v>306</v>
      </c>
      <c r="E38" s="10" t="s">
        <v>268</v>
      </c>
      <c r="F38" s="10" t="s">
        <v>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
    <col collapsed="false" customWidth="true" hidden="false" outlineLevel="0" max="4" min="4" style="0" width="9"/>
    <col collapsed="false" customWidth="true" hidden="false" outlineLevel="0" max="5" min="5" style="0" width="70"/>
  </cols>
  <sheetData>
    <row r="1" customFormat="false" ht="23.85" hidden="false" customHeight="false" outlineLevel="0" collapsed="false">
      <c r="A1" s="9" t="s">
        <v>363</v>
      </c>
      <c r="B1" s="9" t="s">
        <v>754</v>
      </c>
      <c r="C1" s="9" t="s">
        <v>298</v>
      </c>
      <c r="D1" s="9" t="s">
        <v>19</v>
      </c>
      <c r="E1" s="9" t="s">
        <v>369</v>
      </c>
    </row>
    <row r="2" customFormat="false" ht="15" hidden="false" customHeight="false" outlineLevel="0" collapsed="false">
      <c r="A2" s="10" t="s">
        <v>755</v>
      </c>
      <c r="B2" s="11" t="n">
        <v>70</v>
      </c>
      <c r="C2" s="12" t="s">
        <v>306</v>
      </c>
      <c r="D2" s="10" t="s">
        <v>64</v>
      </c>
      <c r="E2" s="10" t="s">
        <v>756</v>
      </c>
    </row>
    <row r="3" customFormat="false" ht="15" hidden="false" customHeight="false" outlineLevel="0" collapsed="false">
      <c r="A3" s="10" t="s">
        <v>757</v>
      </c>
      <c r="B3" s="11" t="n">
        <v>60</v>
      </c>
      <c r="C3" s="12" t="s">
        <v>306</v>
      </c>
      <c r="D3" s="10" t="s">
        <v>129</v>
      </c>
      <c r="E3" s="10" t="s">
        <v>758</v>
      </c>
    </row>
    <row r="4" customFormat="false" ht="23.85" hidden="false" customHeight="false" outlineLevel="0" collapsed="false">
      <c r="A4" s="10" t="s">
        <v>759</v>
      </c>
      <c r="B4" s="11" t="n">
        <v>55</v>
      </c>
      <c r="C4" s="19" t="s">
        <v>314</v>
      </c>
      <c r="D4" s="10"/>
      <c r="E4" s="10" t="s">
        <v>760</v>
      </c>
    </row>
    <row r="5" customFormat="false" ht="23.85" hidden="false" customHeight="false" outlineLevel="0" collapsed="false">
      <c r="A5" s="10" t="s">
        <v>761</v>
      </c>
      <c r="B5" s="11" t="n">
        <v>30</v>
      </c>
      <c r="C5" s="19" t="s">
        <v>314</v>
      </c>
      <c r="D5" s="10"/>
      <c r="E5" s="10" t="s">
        <v>762</v>
      </c>
    </row>
    <row r="6" customFormat="false" ht="15" hidden="false" customHeight="false" outlineLevel="0" collapsed="false">
      <c r="A6" s="10" t="s">
        <v>763</v>
      </c>
      <c r="B6" s="11" t="n">
        <v>12</v>
      </c>
      <c r="C6" s="12" t="s">
        <v>306</v>
      </c>
      <c r="D6" s="10" t="s">
        <v>64</v>
      </c>
      <c r="E6" s="10" t="s">
        <v>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8"/>
    <col collapsed="false" customWidth="true" hidden="false" outlineLevel="0" max="7" min="7" style="0" width="9"/>
    <col collapsed="false" customWidth="true" hidden="false" outlineLevel="0" max="9" min="8" style="0" width="8"/>
    <col collapsed="false" customWidth="true" hidden="false" outlineLevel="0" max="14" min="10" style="0" width="9"/>
    <col collapsed="false" customWidth="true" hidden="false" outlineLevel="0" max="16" min="15" style="0" width="8"/>
    <col collapsed="false" customWidth="true" hidden="false" outlineLevel="0" max="17" min="17" style="0" width="15"/>
    <col collapsed="false" customWidth="true" hidden="false" outlineLevel="0" max="18" min="18" style="0" width="11"/>
    <col collapsed="false" customWidth="true" hidden="false" outlineLevel="0" max="19" min="19" style="0" width="40"/>
    <col collapsed="false" customWidth="true" hidden="false" outlineLevel="0" max="20" min="20" style="0" width="9"/>
    <col collapsed="false" customWidth="true" hidden="false" outlineLevel="0" max="21" min="21" style="0" width="11"/>
    <col collapsed="false" customWidth="true" hidden="false" outlineLevel="0" max="22" min="22" style="0" width="9"/>
    <col collapsed="false" customWidth="true" hidden="false" outlineLevel="0" max="26" min="23" style="0" width="30"/>
    <col collapsed="false" customWidth="true" hidden="false" outlineLevel="0" max="27" min="27" style="0" width="40"/>
    <col collapsed="false" customWidth="true" hidden="false" outlineLevel="0" max="28" min="28" style="0" width="50"/>
  </cols>
  <sheetData>
    <row r="1" customFormat="false" ht="46.25" hidden="false" customHeight="false" outlineLevel="0" collapsed="false">
      <c r="A1" s="9" t="s">
        <v>25</v>
      </c>
      <c r="B1" s="9" t="s">
        <v>765</v>
      </c>
      <c r="C1" s="9" t="s">
        <v>766</v>
      </c>
      <c r="D1" s="9" t="s">
        <v>767</v>
      </c>
      <c r="E1" s="9" t="s">
        <v>768</v>
      </c>
      <c r="F1" s="9" t="s">
        <v>769</v>
      </c>
      <c r="G1" s="9" t="s">
        <v>770</v>
      </c>
      <c r="H1" s="9" t="s">
        <v>771</v>
      </c>
      <c r="I1" s="9" t="s">
        <v>772</v>
      </c>
      <c r="J1" s="9" t="s">
        <v>773</v>
      </c>
      <c r="K1" s="9" t="s">
        <v>774</v>
      </c>
      <c r="L1" s="9" t="s">
        <v>775</v>
      </c>
      <c r="M1" s="9" t="s">
        <v>776</v>
      </c>
      <c r="N1" s="9" t="s">
        <v>777</v>
      </c>
      <c r="O1" s="9" t="s">
        <v>778</v>
      </c>
      <c r="P1" s="9" t="s">
        <v>779</v>
      </c>
      <c r="Q1" s="9" t="s">
        <v>780</v>
      </c>
      <c r="R1" s="9" t="s">
        <v>781</v>
      </c>
      <c r="S1" s="9" t="s">
        <v>782</v>
      </c>
      <c r="T1" s="9" t="s">
        <v>783</v>
      </c>
      <c r="U1" s="9" t="s">
        <v>784</v>
      </c>
      <c r="V1" s="9" t="s">
        <v>785</v>
      </c>
      <c r="W1" s="9" t="s">
        <v>786</v>
      </c>
      <c r="X1" s="9" t="s">
        <v>787</v>
      </c>
      <c r="Y1" s="9" t="s">
        <v>788</v>
      </c>
      <c r="Z1" s="9" t="s">
        <v>789</v>
      </c>
      <c r="AA1" s="9" t="s">
        <v>790</v>
      </c>
      <c r="AB1" s="9" t="s">
        <v>791</v>
      </c>
    </row>
    <row r="2" customFormat="false" ht="35.05" hidden="false" customHeight="false" outlineLevel="0" collapsed="false">
      <c r="A2" s="10" t="s">
        <v>792</v>
      </c>
      <c r="B2" s="10" t="s">
        <v>793</v>
      </c>
      <c r="C2" s="10" t="s">
        <v>794</v>
      </c>
      <c r="D2" s="10" t="s">
        <v>795</v>
      </c>
      <c r="E2" s="10" t="s">
        <v>796</v>
      </c>
      <c r="F2" s="11" t="n">
        <v>13.8</v>
      </c>
      <c r="G2" s="11" t="n">
        <v>392</v>
      </c>
      <c r="H2" s="18" t="n">
        <f aca="false">IF(G2&lt;&gt;"",G2,IF(F2&lt;&gt;"",ROUND(F2*28.3495,0),""))</f>
        <v>392</v>
      </c>
      <c r="I2" s="11" t="n">
        <v>1</v>
      </c>
      <c r="J2" s="11" t="n">
        <v>392</v>
      </c>
      <c r="K2" s="11" t="n">
        <v>25</v>
      </c>
      <c r="L2" s="11" t="n">
        <v>0</v>
      </c>
      <c r="M2" s="18" t="n">
        <f aca="false">IF(H2="","",H2+L2)</f>
        <v>392</v>
      </c>
      <c r="N2" s="23" t="n">
        <f aca="false">IF(OR(K2="",M2=""),"",IF(J2&lt;&gt;"",K2/J2*H2/M2,IF(I2&lt;&gt;"",K2*I2/M2,"")))</f>
        <v>0.0637755102040816</v>
      </c>
      <c r="O2" s="18" t="str">
        <f aca="false">IF(N2="","",IF(N2&lt;FoodClasses!$C$2,"lean",IF(N2&lt;FoodClasses!$C$3,"medium","fatty")))</f>
        <v>medium</v>
      </c>
      <c r="P2" s="11" t="s">
        <v>797</v>
      </c>
      <c r="Q2" s="11" t="s">
        <v>486</v>
      </c>
      <c r="R2" s="24" t="s">
        <v>798</v>
      </c>
      <c r="S2" s="10" t="s">
        <v>799</v>
      </c>
      <c r="T2" s="11" t="n">
        <v>1100</v>
      </c>
      <c r="U2" s="10" t="s">
        <v>800</v>
      </c>
      <c r="V2" s="10" t="s">
        <v>801</v>
      </c>
      <c r="W2" s="10" t="s">
        <v>802</v>
      </c>
      <c r="X2" s="10" t="s">
        <v>803</v>
      </c>
      <c r="Y2" s="10" t="s">
        <v>804</v>
      </c>
      <c r="Z2" s="10" t="s">
        <v>805</v>
      </c>
      <c r="AA2" s="10"/>
      <c r="AB2" s="10" t="s">
        <v>806</v>
      </c>
    </row>
    <row r="3" customFormat="false" ht="35.05" hidden="false" customHeight="false" outlineLevel="0" collapsed="false">
      <c r="A3" s="10" t="s">
        <v>807</v>
      </c>
      <c r="B3" s="10" t="s">
        <v>808</v>
      </c>
      <c r="C3" s="10" t="s">
        <v>809</v>
      </c>
      <c r="D3" s="10" t="s">
        <v>810</v>
      </c>
      <c r="E3" s="10" t="s">
        <v>796</v>
      </c>
      <c r="F3" s="11" t="n">
        <v>11</v>
      </c>
      <c r="G3" s="11" t="n">
        <v>311</v>
      </c>
      <c r="H3" s="18" t="n">
        <f aca="false">IF(G3&lt;&gt;"",G3,IF(F3&lt;&gt;"",ROUND(F3*28.3495,0),""))</f>
        <v>311</v>
      </c>
      <c r="I3" s="11"/>
      <c r="J3" s="11"/>
      <c r="K3" s="11"/>
      <c r="L3" s="11" t="n">
        <v>0</v>
      </c>
      <c r="M3" s="18" t="n">
        <f aca="false">IF(H3="","",H3+L3)</f>
        <v>311</v>
      </c>
      <c r="N3" s="23" t="str">
        <f aca="false">IF(OR(K3="",M3=""),"",IF(J3&lt;&gt;"",K3/J3*H3/M3,IF(I3&lt;&gt;"",K3*I3/M3,"")))</f>
        <v/>
      </c>
      <c r="O3" s="18" t="str">
        <f aca="false">IF(N3="","",IF(N3&lt;FoodClasses!$C$2,"lean",IF(N3&lt;FoodClasses!$C$3,"medium","fatty")))</f>
        <v/>
      </c>
      <c r="P3" s="11" t="s">
        <v>797</v>
      </c>
      <c r="Q3" s="11" t="s">
        <v>494</v>
      </c>
      <c r="R3" s="25" t="s">
        <v>811</v>
      </c>
      <c r="S3" s="10" t="s">
        <v>812</v>
      </c>
      <c r="T3" s="11" t="n">
        <v>1100</v>
      </c>
      <c r="U3" s="10" t="s">
        <v>800</v>
      </c>
      <c r="V3" s="10" t="s">
        <v>801</v>
      </c>
      <c r="W3" s="10" t="s">
        <v>813</v>
      </c>
      <c r="X3" s="10" t="s">
        <v>814</v>
      </c>
      <c r="Y3" s="10"/>
      <c r="Z3" s="10" t="s">
        <v>815</v>
      </c>
      <c r="AA3" s="10" t="s">
        <v>816</v>
      </c>
      <c r="AB3" s="10" t="s">
        <v>817</v>
      </c>
    </row>
    <row r="4" customFormat="false" ht="46.25" hidden="false" customHeight="false" outlineLevel="0" collapsed="false">
      <c r="A4" s="10" t="s">
        <v>818</v>
      </c>
      <c r="B4" s="10" t="s">
        <v>819</v>
      </c>
      <c r="C4" s="10" t="s">
        <v>820</v>
      </c>
      <c r="D4" s="10" t="s">
        <v>821</v>
      </c>
      <c r="E4" s="10" t="s">
        <v>796</v>
      </c>
      <c r="F4" s="11" t="n">
        <v>11</v>
      </c>
      <c r="G4" s="11" t="n">
        <v>312</v>
      </c>
      <c r="H4" s="18" t="n">
        <f aca="false">IF(G4&lt;&gt;"",G4,IF(F4&lt;&gt;"",ROUND(F4*28.3495,0),""))</f>
        <v>312</v>
      </c>
      <c r="I4" s="11" t="n">
        <v>1</v>
      </c>
      <c r="J4" s="11" t="n">
        <v>312</v>
      </c>
      <c r="K4" s="11" t="n">
        <v>16</v>
      </c>
      <c r="L4" s="11" t="n">
        <v>0</v>
      </c>
      <c r="M4" s="18" t="n">
        <f aca="false">IF(H4="","",H4+L4)</f>
        <v>312</v>
      </c>
      <c r="N4" s="23" t="n">
        <f aca="false">IF(OR(K4="",M4=""),"",IF(J4&lt;&gt;"",K4/J4*H4/M4,IF(I4&lt;&gt;"",K4*I4/M4,"")))</f>
        <v>0.0512820512820513</v>
      </c>
      <c r="O4" s="18" t="str">
        <f aca="false">IF(N4="","",IF(N4&lt;FoodClasses!$C$2,"lean",IF(N4&lt;FoodClasses!$C$3,"medium","fatty")))</f>
        <v>medium</v>
      </c>
      <c r="P4" s="11" t="s">
        <v>797</v>
      </c>
      <c r="Q4" s="11" t="s">
        <v>486</v>
      </c>
      <c r="R4" s="24" t="s">
        <v>798</v>
      </c>
      <c r="S4" s="10" t="s">
        <v>822</v>
      </c>
      <c r="T4" s="11" t="n">
        <v>1100</v>
      </c>
      <c r="U4" s="10" t="s">
        <v>800</v>
      </c>
      <c r="V4" s="10" t="s">
        <v>801</v>
      </c>
      <c r="W4" s="10" t="s">
        <v>823</v>
      </c>
      <c r="X4" s="10" t="s">
        <v>824</v>
      </c>
      <c r="Y4" s="10" t="s">
        <v>825</v>
      </c>
      <c r="Z4" s="10" t="s">
        <v>826</v>
      </c>
      <c r="AA4" s="10" t="s">
        <v>827</v>
      </c>
      <c r="AB4" s="10" t="s">
        <v>828</v>
      </c>
    </row>
    <row r="5" customFormat="false" ht="35.05" hidden="false" customHeight="false" outlineLevel="0" collapsed="false">
      <c r="A5" s="10" t="s">
        <v>829</v>
      </c>
      <c r="B5" s="10" t="s">
        <v>819</v>
      </c>
      <c r="C5" s="10" t="s">
        <v>830</v>
      </c>
      <c r="D5" s="10" t="s">
        <v>831</v>
      </c>
      <c r="E5" s="10" t="s">
        <v>796</v>
      </c>
      <c r="F5" s="11" t="n">
        <v>13</v>
      </c>
      <c r="G5" s="11" t="n">
        <v>369</v>
      </c>
      <c r="H5" s="18" t="n">
        <f aca="false">IF(G5&lt;&gt;"",G5,IF(F5&lt;&gt;"",ROUND(F5*28.3495,0),""))</f>
        <v>369</v>
      </c>
      <c r="I5" s="11" t="n">
        <v>1</v>
      </c>
      <c r="J5" s="11" t="n">
        <v>369</v>
      </c>
      <c r="K5" s="11" t="n">
        <v>18</v>
      </c>
      <c r="L5" s="11" t="n">
        <v>0</v>
      </c>
      <c r="M5" s="18" t="n">
        <f aca="false">IF(H5="","",H5+L5)</f>
        <v>369</v>
      </c>
      <c r="N5" s="23" t="n">
        <f aca="false">IF(OR(K5="",M5=""),"",IF(J5&lt;&gt;"",K5/J5*H5/M5,IF(I5&lt;&gt;"",K5*I5/M5,"")))</f>
        <v>0.0487804878048781</v>
      </c>
      <c r="O5" s="18" t="str">
        <f aca="false">IF(N5="","",IF(N5&lt;FoodClasses!$C$2,"lean",IF(N5&lt;FoodClasses!$C$3,"medium","fatty")))</f>
        <v>medium</v>
      </c>
      <c r="P5" s="11" t="s">
        <v>797</v>
      </c>
      <c r="Q5" s="11" t="s">
        <v>486</v>
      </c>
      <c r="R5" s="24" t="s">
        <v>798</v>
      </c>
      <c r="S5" s="10" t="s">
        <v>832</v>
      </c>
      <c r="T5" s="11" t="n">
        <v>1100</v>
      </c>
      <c r="U5" s="10" t="s">
        <v>800</v>
      </c>
      <c r="V5" s="10" t="s">
        <v>801</v>
      </c>
      <c r="W5" s="10" t="s">
        <v>823</v>
      </c>
      <c r="X5" s="10" t="s">
        <v>803</v>
      </c>
      <c r="Y5" s="10" t="s">
        <v>833</v>
      </c>
      <c r="Z5" s="10" t="s">
        <v>834</v>
      </c>
      <c r="AA5" s="10"/>
      <c r="AB5" s="10" t="s">
        <v>835</v>
      </c>
    </row>
    <row r="6" customFormat="false" ht="35.05" hidden="false" customHeight="false" outlineLevel="0" collapsed="false">
      <c r="A6" s="10" t="s">
        <v>836</v>
      </c>
      <c r="B6" s="10" t="s">
        <v>837</v>
      </c>
      <c r="C6" s="10" t="s">
        <v>838</v>
      </c>
      <c r="D6" s="10"/>
      <c r="E6" s="10" t="s">
        <v>796</v>
      </c>
      <c r="F6" s="11" t="n">
        <v>16</v>
      </c>
      <c r="G6" s="11"/>
      <c r="H6" s="18" t="n">
        <f aca="false">IF(G6&lt;&gt;"",G6,IF(F6&lt;&gt;"",ROUND(F6*28.3495,0),""))</f>
        <v>454</v>
      </c>
      <c r="I6" s="11" t="n">
        <v>2</v>
      </c>
      <c r="J6" s="11" t="n">
        <v>226</v>
      </c>
      <c r="K6" s="11" t="n">
        <v>9</v>
      </c>
      <c r="L6" s="11" t="n">
        <v>0</v>
      </c>
      <c r="M6" s="18" t="n">
        <f aca="false">IF(H6="","",H6+L6)</f>
        <v>454</v>
      </c>
      <c r="N6" s="23" t="n">
        <f aca="false">IF(OR(K6="",M6=""),"",IF(J6&lt;&gt;"",K6/J6*H6/M6,IF(I6&lt;&gt;"",K6*I6/M6,"")))</f>
        <v>0.0398230088495575</v>
      </c>
      <c r="O6" s="18" t="str">
        <f aca="false">IF(N6="","",IF(N6&lt;FoodClasses!$C$2,"lean",IF(N6&lt;FoodClasses!$C$3,"medium","fatty")))</f>
        <v>medium</v>
      </c>
      <c r="P6" s="11" t="s">
        <v>797</v>
      </c>
      <c r="Q6" s="11" t="s">
        <v>494</v>
      </c>
      <c r="R6" s="25" t="s">
        <v>811</v>
      </c>
      <c r="S6" s="10" t="s">
        <v>839</v>
      </c>
      <c r="T6" s="11" t="n">
        <v>1100</v>
      </c>
      <c r="U6" s="10" t="s">
        <v>800</v>
      </c>
      <c r="V6" s="10" t="s">
        <v>801</v>
      </c>
      <c r="W6" s="10" t="s">
        <v>823</v>
      </c>
      <c r="X6" s="10" t="s">
        <v>840</v>
      </c>
      <c r="Y6" s="10"/>
      <c r="Z6" s="10" t="s">
        <v>841</v>
      </c>
      <c r="AA6" s="10" t="s">
        <v>842</v>
      </c>
      <c r="AB6" s="10" t="s">
        <v>843</v>
      </c>
    </row>
    <row r="7" customFormat="false" ht="46.25" hidden="false" customHeight="false" outlineLevel="0" collapsed="false">
      <c r="A7" s="10" t="s">
        <v>844</v>
      </c>
      <c r="B7" s="10" t="s">
        <v>837</v>
      </c>
      <c r="C7" s="10" t="s">
        <v>845</v>
      </c>
      <c r="D7" s="10" t="s">
        <v>846</v>
      </c>
      <c r="E7" s="10" t="s">
        <v>796</v>
      </c>
      <c r="F7" s="11" t="n">
        <v>12</v>
      </c>
      <c r="G7" s="11" t="n">
        <v>340</v>
      </c>
      <c r="H7" s="18" t="n">
        <f aca="false">IF(G7&lt;&gt;"",G7,IF(F7&lt;&gt;"",ROUND(F7*28.3495,0),""))</f>
        <v>340</v>
      </c>
      <c r="I7" s="11" t="n">
        <v>1</v>
      </c>
      <c r="J7" s="11" t="n">
        <v>340</v>
      </c>
      <c r="K7" s="11" t="n">
        <v>21</v>
      </c>
      <c r="L7" s="11" t="n">
        <v>0</v>
      </c>
      <c r="M7" s="18" t="n">
        <f aca="false">IF(H7="","",H7+L7)</f>
        <v>340</v>
      </c>
      <c r="N7" s="23" t="n">
        <f aca="false">IF(OR(K7="",M7=""),"",IF(J7&lt;&gt;"",K7/J7*H7/M7,IF(I7&lt;&gt;"",K7*I7/M7,"")))</f>
        <v>0.0617647058823529</v>
      </c>
      <c r="O7" s="18" t="str">
        <f aca="false">IF(N7="","",IF(N7&lt;FoodClasses!$C$2,"lean",IF(N7&lt;FoodClasses!$C$3,"medium","fatty")))</f>
        <v>medium</v>
      </c>
      <c r="P7" s="11" t="s">
        <v>797</v>
      </c>
      <c r="Q7" s="11" t="s">
        <v>505</v>
      </c>
      <c r="R7" s="24" t="s">
        <v>798</v>
      </c>
      <c r="S7" s="10" t="s">
        <v>847</v>
      </c>
      <c r="T7" s="11"/>
      <c r="U7" s="10" t="s">
        <v>848</v>
      </c>
      <c r="V7" s="10" t="s">
        <v>801</v>
      </c>
      <c r="W7" s="10"/>
      <c r="X7" s="10" t="s">
        <v>849</v>
      </c>
      <c r="Y7" s="10"/>
      <c r="Z7" s="10" t="s">
        <v>850</v>
      </c>
      <c r="AA7" s="10" t="s">
        <v>851</v>
      </c>
      <c r="AB7" s="10" t="s">
        <v>852</v>
      </c>
    </row>
    <row r="8" customFormat="false" ht="35.05" hidden="false" customHeight="false" outlineLevel="0" collapsed="false">
      <c r="A8" s="10" t="s">
        <v>853</v>
      </c>
      <c r="B8" s="10" t="s">
        <v>854</v>
      </c>
      <c r="C8" s="10" t="s">
        <v>855</v>
      </c>
      <c r="D8" s="10"/>
      <c r="E8" s="10" t="s">
        <v>796</v>
      </c>
      <c r="F8" s="11" t="n">
        <v>11.5</v>
      </c>
      <c r="G8" s="11"/>
      <c r="H8" s="18" t="n">
        <f aca="false">IF(G8&lt;&gt;"",G8,IF(F8&lt;&gt;"",ROUND(F8*28.3495,0),""))</f>
        <v>326</v>
      </c>
      <c r="I8" s="11" t="n">
        <v>1</v>
      </c>
      <c r="J8" s="11"/>
      <c r="K8" s="11" t="n">
        <v>4</v>
      </c>
      <c r="L8" s="11" t="n">
        <v>0</v>
      </c>
      <c r="M8" s="18" t="n">
        <f aca="false">IF(H8="","",H8+L8)</f>
        <v>326</v>
      </c>
      <c r="N8" s="23" t="n">
        <f aca="false">IF(OR(K8="",M8=""),"",IF(J8&lt;&gt;"",K8/J8*H8/M8,IF(I8&lt;&gt;"",K8*I8/M8,"")))</f>
        <v>0.0122699386503067</v>
      </c>
      <c r="O8" s="18" t="str">
        <f aca="false">IF(N8="","",IF(N8&lt;FoodClasses!$C$2,"lean",IF(N8&lt;FoodClasses!$C$3,"medium","fatty")))</f>
        <v>lean</v>
      </c>
      <c r="P8" s="11" t="s">
        <v>797</v>
      </c>
      <c r="Q8" s="11" t="s">
        <v>494</v>
      </c>
      <c r="R8" s="24" t="s">
        <v>798</v>
      </c>
      <c r="S8" s="10" t="s">
        <v>856</v>
      </c>
      <c r="T8" s="11" t="n">
        <v>1100</v>
      </c>
      <c r="U8" s="10" t="s">
        <v>800</v>
      </c>
      <c r="V8" s="10" t="s">
        <v>801</v>
      </c>
      <c r="W8" s="10" t="s">
        <v>857</v>
      </c>
      <c r="X8" s="10" t="s">
        <v>849</v>
      </c>
      <c r="Y8" s="10"/>
      <c r="Z8" s="10" t="s">
        <v>858</v>
      </c>
      <c r="AA8" s="10" t="s">
        <v>859</v>
      </c>
      <c r="AB8" s="10" t="s">
        <v>860</v>
      </c>
    </row>
    <row r="9" customFormat="false" ht="35.05" hidden="false" customHeight="false" outlineLevel="0" collapsed="false">
      <c r="A9" s="10" t="s">
        <v>861</v>
      </c>
      <c r="B9" s="10" t="s">
        <v>862</v>
      </c>
      <c r="C9" s="10" t="s">
        <v>863</v>
      </c>
      <c r="D9" s="10" t="s">
        <v>864</v>
      </c>
      <c r="E9" s="10" t="s">
        <v>796</v>
      </c>
      <c r="F9" s="11" t="n">
        <v>16</v>
      </c>
      <c r="G9" s="11" t="n">
        <v>454</v>
      </c>
      <c r="H9" s="18" t="n">
        <f aca="false">IF(G9&lt;&gt;"",G9,IF(F9&lt;&gt;"",ROUND(F9*28.3495,0),""))</f>
        <v>454</v>
      </c>
      <c r="I9" s="11" t="n">
        <v>1</v>
      </c>
      <c r="J9" s="11" t="n">
        <v>454</v>
      </c>
      <c r="K9" s="11" t="n">
        <v>21</v>
      </c>
      <c r="L9" s="11" t="n">
        <v>0</v>
      </c>
      <c r="M9" s="18" t="n">
        <f aca="false">IF(H9="","",H9+L9)</f>
        <v>454</v>
      </c>
      <c r="N9" s="23" t="n">
        <f aca="false">IF(OR(K9="",M9=""),"",IF(J9&lt;&gt;"",K9/J9*H9/M9,IF(I9&lt;&gt;"",K9*I9/M9,"")))</f>
        <v>0.0462555066079295</v>
      </c>
      <c r="O9" s="18" t="str">
        <f aca="false">IF(N9="","",IF(N9&lt;FoodClasses!$C$2,"lean",IF(N9&lt;FoodClasses!$C$3,"medium","fatty")))</f>
        <v>medium</v>
      </c>
      <c r="P9" s="11" t="s">
        <v>797</v>
      </c>
      <c r="Q9" s="11" t="s">
        <v>486</v>
      </c>
      <c r="R9" s="24" t="s">
        <v>798</v>
      </c>
      <c r="S9" s="10" t="s">
        <v>865</v>
      </c>
      <c r="T9" s="11" t="n">
        <v>1100</v>
      </c>
      <c r="U9" s="10" t="s">
        <v>800</v>
      </c>
      <c r="V9" s="10" t="s">
        <v>801</v>
      </c>
      <c r="W9" s="10" t="s">
        <v>823</v>
      </c>
      <c r="X9" s="10" t="s">
        <v>803</v>
      </c>
      <c r="Y9" s="10" t="s">
        <v>866</v>
      </c>
      <c r="Z9" s="10" t="s">
        <v>867</v>
      </c>
      <c r="AA9" s="10"/>
      <c r="AB9" s="10" t="s">
        <v>868</v>
      </c>
    </row>
    <row r="10" customFormat="false" ht="46.25" hidden="false" customHeight="false" outlineLevel="0" collapsed="false">
      <c r="A10" s="10" t="s">
        <v>869</v>
      </c>
      <c r="B10" s="10" t="s">
        <v>808</v>
      </c>
      <c r="C10" s="10" t="s">
        <v>870</v>
      </c>
      <c r="D10" s="10" t="s">
        <v>871</v>
      </c>
      <c r="E10" s="10" t="s">
        <v>796</v>
      </c>
      <c r="F10" s="11" t="n">
        <v>9.25</v>
      </c>
      <c r="G10" s="11" t="n">
        <v>262</v>
      </c>
      <c r="H10" s="18" t="n">
        <f aca="false">IF(G10&lt;&gt;"",G10,IF(F10&lt;&gt;"",ROUND(F10*28.3495,0),""))</f>
        <v>262</v>
      </c>
      <c r="I10" s="11" t="n">
        <v>1</v>
      </c>
      <c r="J10" s="11" t="n">
        <v>262</v>
      </c>
      <c r="K10" s="11" t="n">
        <v>4.5</v>
      </c>
      <c r="L10" s="11" t="n">
        <v>0</v>
      </c>
      <c r="M10" s="18" t="n">
        <f aca="false">IF(H10="","",H10+L10)</f>
        <v>262</v>
      </c>
      <c r="N10" s="23" t="n">
        <f aca="false">IF(OR(K10="",M10=""),"",IF(J10&lt;&gt;"",K10/J10*H10/M10,IF(I10&lt;&gt;"",K10*I10/M10,"")))</f>
        <v>0.017175572519084</v>
      </c>
      <c r="O10" s="18" t="str">
        <f aca="false">IF(N10="","",IF(N10&lt;FoodClasses!$C$2,"lean",IF(N10&lt;FoodClasses!$C$3,"medium","fatty")))</f>
        <v>lean</v>
      </c>
      <c r="P10" s="11" t="s">
        <v>797</v>
      </c>
      <c r="Q10" s="11" t="s">
        <v>494</v>
      </c>
      <c r="R10" s="24" t="s">
        <v>798</v>
      </c>
      <c r="S10" s="10" t="s">
        <v>872</v>
      </c>
      <c r="T10" s="11" t="n">
        <v>1100</v>
      </c>
      <c r="U10" s="10" t="s">
        <v>800</v>
      </c>
      <c r="V10" s="10" t="s">
        <v>801</v>
      </c>
      <c r="W10" s="10" t="s">
        <v>823</v>
      </c>
      <c r="X10" s="10" t="s">
        <v>873</v>
      </c>
      <c r="Y10" s="10"/>
      <c r="Z10" s="10" t="s">
        <v>874</v>
      </c>
      <c r="AA10" s="10" t="s">
        <v>875</v>
      </c>
      <c r="AB10" s="10" t="s">
        <v>876</v>
      </c>
    </row>
    <row r="11" customFormat="false" ht="35.05" hidden="false" customHeight="false" outlineLevel="0" collapsed="false">
      <c r="A11" s="10" t="s">
        <v>877</v>
      </c>
      <c r="B11" s="10" t="s">
        <v>878</v>
      </c>
      <c r="C11" s="10" t="s">
        <v>879</v>
      </c>
      <c r="D11" s="10" t="s">
        <v>880</v>
      </c>
      <c r="E11" s="10" t="s">
        <v>796</v>
      </c>
      <c r="F11" s="11" t="n">
        <v>9</v>
      </c>
      <c r="G11" s="11" t="n">
        <v>255</v>
      </c>
      <c r="H11" s="18" t="n">
        <f aca="false">IF(G11&lt;&gt;"",G11,IF(F11&lt;&gt;"",ROUND(F11*28.3495,0),""))</f>
        <v>255</v>
      </c>
      <c r="I11" s="11" t="n">
        <v>1</v>
      </c>
      <c r="J11" s="11" t="n">
        <v>255</v>
      </c>
      <c r="K11" s="11" t="n">
        <v>15</v>
      </c>
      <c r="L11" s="11" t="n">
        <v>0</v>
      </c>
      <c r="M11" s="18" t="n">
        <f aca="false">IF(H11="","",H11+L11)</f>
        <v>255</v>
      </c>
      <c r="N11" s="23" t="n">
        <f aca="false">IF(OR(K11="",M11=""),"",IF(J11&lt;&gt;"",K11/J11*H11/M11,IF(I11&lt;&gt;"",K11*I11/M11,"")))</f>
        <v>0.0588235294117647</v>
      </c>
      <c r="O11" s="18" t="str">
        <f aca="false">IF(N11="","",IF(N11&lt;FoodClasses!$C$2,"lean",IF(N11&lt;FoodClasses!$C$3,"medium","fatty")))</f>
        <v>medium</v>
      </c>
      <c r="P11" s="11" t="s">
        <v>797</v>
      </c>
      <c r="Q11" s="11" t="s">
        <v>486</v>
      </c>
      <c r="R11" s="24" t="s">
        <v>798</v>
      </c>
      <c r="S11" s="10" t="s">
        <v>881</v>
      </c>
      <c r="T11" s="11" t="n">
        <v>1100</v>
      </c>
      <c r="U11" s="10" t="s">
        <v>800</v>
      </c>
      <c r="V11" s="10" t="s">
        <v>801</v>
      </c>
      <c r="W11" s="10" t="s">
        <v>823</v>
      </c>
      <c r="X11" s="10" t="s">
        <v>803</v>
      </c>
      <c r="Y11" s="10" t="s">
        <v>882</v>
      </c>
      <c r="Z11" s="10" t="s">
        <v>883</v>
      </c>
      <c r="AA11" s="10"/>
      <c r="AB11" s="10" t="s">
        <v>884</v>
      </c>
    </row>
    <row r="12" customFormat="false" ht="35.05" hidden="false" customHeight="false" outlineLevel="0" collapsed="false">
      <c r="A12" s="10" t="s">
        <v>885</v>
      </c>
      <c r="B12" s="10" t="s">
        <v>808</v>
      </c>
      <c r="C12" s="10" t="s">
        <v>886</v>
      </c>
      <c r="D12" s="10"/>
      <c r="E12" s="10" t="s">
        <v>796</v>
      </c>
      <c r="F12" s="11" t="n">
        <v>9.5</v>
      </c>
      <c r="G12" s="11"/>
      <c r="H12" s="18" t="n">
        <f aca="false">IF(G12&lt;&gt;"",G12,IF(F12&lt;&gt;"",ROUND(F12*28.3495,0),""))</f>
        <v>269</v>
      </c>
      <c r="I12" s="11" t="n">
        <v>1</v>
      </c>
      <c r="J12" s="11"/>
      <c r="K12" s="11" t="n">
        <v>4</v>
      </c>
      <c r="L12" s="11" t="n">
        <v>0</v>
      </c>
      <c r="M12" s="18" t="n">
        <f aca="false">IF(H12="","",H12+L12)</f>
        <v>269</v>
      </c>
      <c r="N12" s="23" t="n">
        <f aca="false">IF(OR(K12="",M12=""),"",IF(J12&lt;&gt;"",K12/J12*H12/M12,IF(I12&lt;&gt;"",K12*I12/M12,"")))</f>
        <v>0.0148698884758364</v>
      </c>
      <c r="O12" s="18" t="str">
        <f aca="false">IF(N12="","",IF(N12&lt;FoodClasses!$C$2,"lean",IF(N12&lt;FoodClasses!$C$3,"medium","fatty")))</f>
        <v>lean</v>
      </c>
      <c r="P12" s="11" t="s">
        <v>797</v>
      </c>
      <c r="Q12" s="11" t="s">
        <v>494</v>
      </c>
      <c r="R12" s="25" t="s">
        <v>811</v>
      </c>
      <c r="S12" s="10" t="s">
        <v>887</v>
      </c>
      <c r="T12" s="11"/>
      <c r="U12" s="10" t="s">
        <v>848</v>
      </c>
      <c r="V12" s="10" t="s">
        <v>801</v>
      </c>
      <c r="W12" s="10"/>
      <c r="X12" s="10"/>
      <c r="Y12" s="10"/>
      <c r="Z12" s="10" t="s">
        <v>888</v>
      </c>
      <c r="AA12" s="10" t="s">
        <v>889</v>
      </c>
      <c r="AB12" s="10" t="s">
        <v>890</v>
      </c>
    </row>
    <row r="13" customFormat="false" ht="46.25" hidden="false" customHeight="false" outlineLevel="0" collapsed="false">
      <c r="A13" s="10" t="s">
        <v>891</v>
      </c>
      <c r="B13" s="10" t="s">
        <v>892</v>
      </c>
      <c r="C13" s="10" t="s">
        <v>893</v>
      </c>
      <c r="D13" s="10"/>
      <c r="E13" s="10" t="s">
        <v>796</v>
      </c>
      <c r="F13" s="11" t="n">
        <v>9.5</v>
      </c>
      <c r="G13" s="11"/>
      <c r="H13" s="18" t="n">
        <f aca="false">IF(G13&lt;&gt;"",G13,IF(F13&lt;&gt;"",ROUND(F13*28.3495,0),""))</f>
        <v>269</v>
      </c>
      <c r="I13" s="11" t="n">
        <v>1</v>
      </c>
      <c r="J13" s="11" t="n">
        <v>269</v>
      </c>
      <c r="K13" s="11" t="n">
        <v>16</v>
      </c>
      <c r="L13" s="11" t="n">
        <v>0</v>
      </c>
      <c r="M13" s="18" t="n">
        <f aca="false">IF(H13="","",H13+L13)</f>
        <v>269</v>
      </c>
      <c r="N13" s="23" t="n">
        <f aca="false">IF(OR(K13="",M13=""),"",IF(J13&lt;&gt;"",K13/J13*H13/M13,IF(I13&lt;&gt;"",K13*I13/M13,"")))</f>
        <v>0.0594795539033457</v>
      </c>
      <c r="O13" s="18" t="str">
        <f aca="false">IF(N13="","",IF(N13&lt;FoodClasses!$C$2,"lean",IF(N13&lt;FoodClasses!$C$3,"medium","fatty")))</f>
        <v>medium</v>
      </c>
      <c r="P13" s="11" t="s">
        <v>797</v>
      </c>
      <c r="Q13" s="11" t="s">
        <v>486</v>
      </c>
      <c r="R13" s="25" t="s">
        <v>811</v>
      </c>
      <c r="S13" s="10" t="s">
        <v>894</v>
      </c>
      <c r="T13" s="11"/>
      <c r="U13" s="10" t="s">
        <v>895</v>
      </c>
      <c r="V13" s="10" t="s">
        <v>801</v>
      </c>
      <c r="W13" s="10"/>
      <c r="X13" s="10"/>
      <c r="Y13" s="10"/>
      <c r="Z13" s="10"/>
      <c r="AA13" s="10" t="s">
        <v>896</v>
      </c>
      <c r="AB13" s="10" t="s">
        <v>897</v>
      </c>
    </row>
    <row r="14" customFormat="false" ht="46.25" hidden="false" customHeight="false" outlineLevel="0" collapsed="false">
      <c r="A14" s="10" t="s">
        <v>898</v>
      </c>
      <c r="B14" s="10" t="s">
        <v>819</v>
      </c>
      <c r="C14" s="10" t="s">
        <v>899</v>
      </c>
      <c r="D14" s="10" t="s">
        <v>900</v>
      </c>
      <c r="E14" s="10" t="s">
        <v>796</v>
      </c>
      <c r="F14" s="11" t="n">
        <v>10</v>
      </c>
      <c r="G14" s="11" t="n">
        <v>283</v>
      </c>
      <c r="H14" s="18" t="n">
        <f aca="false">IF(G14&lt;&gt;"",G14,IF(F14&lt;&gt;"",ROUND(F14*28.3495,0),""))</f>
        <v>283</v>
      </c>
      <c r="I14" s="11" t="n">
        <v>1</v>
      </c>
      <c r="J14" s="11" t="n">
        <v>283</v>
      </c>
      <c r="K14" s="11" t="n">
        <v>31</v>
      </c>
      <c r="L14" s="11" t="n">
        <v>0</v>
      </c>
      <c r="M14" s="18" t="n">
        <f aca="false">IF(H14="","",H14+L14)</f>
        <v>283</v>
      </c>
      <c r="N14" s="23" t="n">
        <f aca="false">IF(OR(K14="",M14=""),"",IF(J14&lt;&gt;"",K14/J14*H14/M14,IF(I14&lt;&gt;"",K14*I14/M14,"")))</f>
        <v>0.109540636042403</v>
      </c>
      <c r="O14" s="18" t="str">
        <f aca="false">IF(N14="","",IF(N14&lt;FoodClasses!$C$2,"lean",IF(N14&lt;FoodClasses!$C$3,"medium","fatty")))</f>
        <v>fatty</v>
      </c>
      <c r="P14" s="11" t="s">
        <v>797</v>
      </c>
      <c r="Q14" s="11" t="s">
        <v>500</v>
      </c>
      <c r="R14" s="24" t="s">
        <v>798</v>
      </c>
      <c r="S14" s="10" t="s">
        <v>901</v>
      </c>
      <c r="T14" s="11" t="n">
        <v>1100</v>
      </c>
      <c r="U14" s="10" t="s">
        <v>800</v>
      </c>
      <c r="V14" s="10" t="s">
        <v>801</v>
      </c>
      <c r="W14" s="10" t="s">
        <v>902</v>
      </c>
      <c r="X14" s="10" t="s">
        <v>903</v>
      </c>
      <c r="Y14" s="10" t="s">
        <v>904</v>
      </c>
      <c r="Z14" s="10" t="s">
        <v>905</v>
      </c>
      <c r="AA14" s="10"/>
      <c r="AB14" s="10" t="s">
        <v>906</v>
      </c>
    </row>
    <row r="15" customFormat="false" ht="35.05" hidden="false" customHeight="false" outlineLevel="0" collapsed="false">
      <c r="A15" s="10" t="s">
        <v>907</v>
      </c>
      <c r="B15" s="10" t="s">
        <v>819</v>
      </c>
      <c r="C15" s="10" t="s">
        <v>908</v>
      </c>
      <c r="D15" s="10" t="s">
        <v>909</v>
      </c>
      <c r="E15" s="10" t="s">
        <v>796</v>
      </c>
      <c r="F15" s="11" t="n">
        <v>15</v>
      </c>
      <c r="G15" s="11" t="n">
        <v>425</v>
      </c>
      <c r="H15" s="18" t="n">
        <f aca="false">IF(G15&lt;&gt;"",G15,IF(F15&lt;&gt;"",ROUND(F15*28.3495,0),""))</f>
        <v>425</v>
      </c>
      <c r="I15" s="11" t="n">
        <v>2</v>
      </c>
      <c r="J15" s="11" t="n">
        <v>200</v>
      </c>
      <c r="K15" s="11" t="n">
        <v>27</v>
      </c>
      <c r="L15" s="11" t="n">
        <v>0</v>
      </c>
      <c r="M15" s="18" t="n">
        <f aca="false">IF(H15="","",H15+L15)</f>
        <v>425</v>
      </c>
      <c r="N15" s="23" t="n">
        <f aca="false">IF(OR(K15="",M15=""),"",IF(J15&lt;&gt;"",K15/J15*H15/M15,IF(I15&lt;&gt;"",K15*I15/M15,"")))</f>
        <v>0.135</v>
      </c>
      <c r="O15" s="18" t="str">
        <f aca="false">IF(N15="","",IF(N15&lt;FoodClasses!$C$2,"lean",IF(N15&lt;FoodClasses!$C$3,"medium","fatty")))</f>
        <v>fatty</v>
      </c>
      <c r="P15" s="11" t="s">
        <v>797</v>
      </c>
      <c r="Q15" s="11" t="s">
        <v>500</v>
      </c>
      <c r="R15" s="24" t="s">
        <v>798</v>
      </c>
      <c r="S15" s="10" t="s">
        <v>901</v>
      </c>
      <c r="T15" s="11" t="n">
        <v>1100</v>
      </c>
      <c r="U15" s="10" t="s">
        <v>800</v>
      </c>
      <c r="V15" s="10" t="s">
        <v>801</v>
      </c>
      <c r="W15" s="10" t="s">
        <v>910</v>
      </c>
      <c r="X15" s="10" t="s">
        <v>911</v>
      </c>
      <c r="Y15" s="10" t="s">
        <v>912</v>
      </c>
      <c r="Z15" s="10" t="s">
        <v>913</v>
      </c>
      <c r="AA15" s="10" t="s">
        <v>914</v>
      </c>
      <c r="AB15" s="10" t="s">
        <v>915</v>
      </c>
    </row>
    <row r="16" customFormat="false" ht="46.25" hidden="false" customHeight="false" outlineLevel="0" collapsed="false">
      <c r="A16" s="10" t="s">
        <v>916</v>
      </c>
      <c r="B16" s="10" t="s">
        <v>917</v>
      </c>
      <c r="C16" s="10" t="s">
        <v>918</v>
      </c>
      <c r="D16" s="10"/>
      <c r="E16" s="10" t="s">
        <v>919</v>
      </c>
      <c r="F16" s="11" t="n">
        <v>2.05</v>
      </c>
      <c r="G16" s="11"/>
      <c r="H16" s="18" t="n">
        <f aca="false">IF(G16&lt;&gt;"",G16,IF(F16&lt;&gt;"",ROUND(F16*28.3495,0),""))</f>
        <v>58</v>
      </c>
      <c r="I16" s="11" t="n">
        <v>1</v>
      </c>
      <c r="J16" s="11"/>
      <c r="K16" s="11" t="n">
        <v>3.5</v>
      </c>
      <c r="L16" s="24" t="n">
        <v>110</v>
      </c>
      <c r="M16" s="18" t="n">
        <f aca="false">IF(H16="","",H16+L16)</f>
        <v>168</v>
      </c>
      <c r="N16" s="23" t="n">
        <f aca="false">IF(OR(K16="",M16=""),"",IF(J16&lt;&gt;"",K16/J16*H16/M16,IF(I16&lt;&gt;"",K16*I16/M16,"")))</f>
        <v>0.0208333333333333</v>
      </c>
      <c r="O16" s="18" t="str">
        <f aca="false">IF(N16="","",IF(N16&lt;FoodClasses!$C$2,"lean",IF(N16&lt;FoodClasses!$C$3,"medium","fatty")))</f>
        <v>lean</v>
      </c>
      <c r="P16" s="11" t="s">
        <v>920</v>
      </c>
      <c r="Q16" s="11" t="s">
        <v>494</v>
      </c>
      <c r="R16" s="24" t="s">
        <v>798</v>
      </c>
      <c r="S16" s="10" t="s">
        <v>921</v>
      </c>
      <c r="T16" s="11"/>
      <c r="U16" s="10" t="s">
        <v>848</v>
      </c>
      <c r="V16" s="10" t="s">
        <v>801</v>
      </c>
      <c r="W16" s="10"/>
      <c r="X16" s="10" t="s">
        <v>922</v>
      </c>
      <c r="Y16" s="10"/>
      <c r="Z16" s="10" t="s">
        <v>923</v>
      </c>
      <c r="AA16" s="10" t="s">
        <v>924</v>
      </c>
      <c r="AB16" s="10" t="s">
        <v>925</v>
      </c>
    </row>
    <row r="17" customFormat="false" ht="68.65" hidden="false" customHeight="false" outlineLevel="0" collapsed="false">
      <c r="A17" s="10" t="s">
        <v>926</v>
      </c>
      <c r="B17" s="10" t="s">
        <v>927</v>
      </c>
      <c r="C17" s="10" t="s">
        <v>928</v>
      </c>
      <c r="D17" s="10"/>
      <c r="E17" s="10" t="s">
        <v>919</v>
      </c>
      <c r="F17" s="11" t="n">
        <v>2.25</v>
      </c>
      <c r="G17" s="11"/>
      <c r="H17" s="18" t="n">
        <f aca="false">IF(G17&lt;&gt;"",G17,IF(F17&lt;&gt;"",ROUND(F17*28.3495,0),""))</f>
        <v>64</v>
      </c>
      <c r="I17" s="11"/>
      <c r="J17" s="11"/>
      <c r="K17" s="11"/>
      <c r="L17" s="24" t="n">
        <v>300</v>
      </c>
      <c r="M17" s="18" t="n">
        <f aca="false">IF(H17="","",H17+L17)</f>
        <v>364</v>
      </c>
      <c r="N17" s="23" t="str">
        <f aca="false">IF(OR(K17="",M17=""),"",IF(J17&lt;&gt;"",K17/J17*H17/M17,IF(I17&lt;&gt;"",K17*I17/M17,"")))</f>
        <v/>
      </c>
      <c r="O17" s="18" t="str">
        <f aca="false">IF(N17="","",IF(N17&lt;FoodClasses!$C$2,"lean",IF(N17&lt;FoodClasses!$C$3,"medium","fatty")))</f>
        <v/>
      </c>
      <c r="P17" s="11" t="s">
        <v>920</v>
      </c>
      <c r="Q17" s="11" t="s">
        <v>546</v>
      </c>
      <c r="R17" s="11" t="s">
        <v>177</v>
      </c>
      <c r="S17" s="10" t="s">
        <v>929</v>
      </c>
      <c r="T17" s="11"/>
      <c r="U17" s="10" t="s">
        <v>930</v>
      </c>
      <c r="V17" s="10" t="s">
        <v>931</v>
      </c>
      <c r="W17" s="10"/>
      <c r="X17" s="10" t="s">
        <v>785</v>
      </c>
      <c r="Y17" s="10"/>
      <c r="Z17" s="10" t="s">
        <v>932</v>
      </c>
      <c r="AA17" s="10" t="s">
        <v>933</v>
      </c>
      <c r="AB17" s="10" t="s">
        <v>934</v>
      </c>
    </row>
    <row r="18" customFormat="false" ht="68.65" hidden="false" customHeight="false" outlineLevel="0" collapsed="false">
      <c r="A18" s="10" t="s">
        <v>935</v>
      </c>
      <c r="B18" s="10" t="s">
        <v>936</v>
      </c>
      <c r="C18" s="10" t="s">
        <v>937</v>
      </c>
      <c r="D18" s="10"/>
      <c r="E18" s="10" t="s">
        <v>919</v>
      </c>
      <c r="F18" s="11" t="n">
        <v>2.25</v>
      </c>
      <c r="G18" s="11"/>
      <c r="H18" s="18" t="n">
        <f aca="false">IF(G18&lt;&gt;"",G18,IF(F18&lt;&gt;"",ROUND(F18*28.3495,0),""))</f>
        <v>64</v>
      </c>
      <c r="I18" s="11" t="n">
        <v>1</v>
      </c>
      <c r="J18" s="11"/>
      <c r="K18" s="11" t="n">
        <v>11</v>
      </c>
      <c r="L18" s="24" t="n">
        <v>300</v>
      </c>
      <c r="M18" s="18" t="n">
        <f aca="false">IF(H18="","",H18+L18)</f>
        <v>364</v>
      </c>
      <c r="N18" s="23" t="n">
        <f aca="false">IF(OR(K18="",M18=""),"",IF(J18&lt;&gt;"",K18/J18*H18/M18,IF(I18&lt;&gt;"",K18*I18/M18,"")))</f>
        <v>0.0302197802197802</v>
      </c>
      <c r="O18" s="18" t="str">
        <f aca="false">IF(N18="","",IF(N18&lt;FoodClasses!$C$2,"lean",IF(N18&lt;FoodClasses!$C$3,"medium","fatty")))</f>
        <v>medium</v>
      </c>
      <c r="P18" s="11" t="s">
        <v>920</v>
      </c>
      <c r="Q18" s="11" t="s">
        <v>468</v>
      </c>
      <c r="R18" s="11" t="s">
        <v>177</v>
      </c>
      <c r="S18" s="10" t="s">
        <v>938</v>
      </c>
      <c r="T18" s="11"/>
      <c r="U18" s="10" t="s">
        <v>848</v>
      </c>
      <c r="V18" s="10" t="s">
        <v>801</v>
      </c>
      <c r="W18" s="10"/>
      <c r="X18" s="10"/>
      <c r="Y18" s="10"/>
      <c r="Z18" s="10" t="s">
        <v>939</v>
      </c>
      <c r="AA18" s="10" t="s">
        <v>940</v>
      </c>
      <c r="AB18" s="10" t="s">
        <v>941</v>
      </c>
    </row>
    <row r="19" customFormat="false" ht="35.05" hidden="false" customHeight="false" outlineLevel="0" collapsed="false">
      <c r="A19" s="10" t="s">
        <v>942</v>
      </c>
      <c r="B19" s="10" t="s">
        <v>943</v>
      </c>
      <c r="C19" s="10" t="s">
        <v>944</v>
      </c>
      <c r="D19" s="10" t="s">
        <v>945</v>
      </c>
      <c r="E19" s="10" t="s">
        <v>919</v>
      </c>
      <c r="F19" s="11" t="n">
        <v>15.25</v>
      </c>
      <c r="G19" s="11"/>
      <c r="H19" s="18" t="n">
        <f aca="false">IF(G19&lt;&gt;"",G19,IF(F19&lt;&gt;"",ROUND(F19*28.3495,0),""))</f>
        <v>432</v>
      </c>
      <c r="I19" s="11" t="n">
        <v>1</v>
      </c>
      <c r="J19" s="11"/>
      <c r="K19" s="11" t="n">
        <v>3</v>
      </c>
      <c r="L19" s="11" t="n">
        <v>0</v>
      </c>
      <c r="M19" s="18" t="n">
        <f aca="false">IF(H19="","",H19+L19)</f>
        <v>432</v>
      </c>
      <c r="N19" s="23" t="n">
        <f aca="false">IF(OR(K19="",M19=""),"",IF(J19&lt;&gt;"",K19/J19*H19/M19,IF(I19&lt;&gt;"",K19*I19/M19,"")))</f>
        <v>0.00694444444444444</v>
      </c>
      <c r="O19" s="18" t="str">
        <f aca="false">IF(N19="","",IF(N19&lt;FoodClasses!$C$2,"lean",IF(N19&lt;FoodClasses!$C$3,"medium","fatty")))</f>
        <v>lean</v>
      </c>
      <c r="P19" s="11" t="s">
        <v>920</v>
      </c>
      <c r="Q19" s="11" t="s">
        <v>494</v>
      </c>
      <c r="R19" s="24" t="s">
        <v>798</v>
      </c>
      <c r="S19" s="10" t="s">
        <v>946</v>
      </c>
      <c r="T19" s="11"/>
      <c r="U19" s="10" t="s">
        <v>848</v>
      </c>
      <c r="V19" s="10" t="s">
        <v>801</v>
      </c>
      <c r="W19" s="10" t="s">
        <v>947</v>
      </c>
      <c r="X19" s="10" t="s">
        <v>948</v>
      </c>
      <c r="Y19" s="10"/>
      <c r="Z19" s="10" t="s">
        <v>949</v>
      </c>
      <c r="AA19" s="10" t="s">
        <v>950</v>
      </c>
      <c r="AB19" s="10" t="s">
        <v>951</v>
      </c>
    </row>
    <row r="20" customFormat="false" ht="35.05" hidden="false" customHeight="false" outlineLevel="0" collapsed="false">
      <c r="A20" s="10" t="s">
        <v>952</v>
      </c>
      <c r="B20" s="10" t="s">
        <v>943</v>
      </c>
      <c r="C20" s="10" t="s">
        <v>953</v>
      </c>
      <c r="D20" s="10"/>
      <c r="E20" s="10" t="s">
        <v>919</v>
      </c>
      <c r="F20" s="11" t="n">
        <v>15.25</v>
      </c>
      <c r="G20" s="11"/>
      <c r="H20" s="18" t="n">
        <f aca="false">IF(G20&lt;&gt;"",G20,IF(F20&lt;&gt;"",ROUND(F20*28.3495,0),""))</f>
        <v>432</v>
      </c>
      <c r="I20" s="11" t="n">
        <v>1</v>
      </c>
      <c r="J20" s="11"/>
      <c r="K20" s="11" t="n">
        <v>5</v>
      </c>
      <c r="L20" s="11" t="n">
        <v>0</v>
      </c>
      <c r="M20" s="18" t="n">
        <f aca="false">IF(H20="","",H20+L20)</f>
        <v>432</v>
      </c>
      <c r="N20" s="23" t="n">
        <f aca="false">IF(OR(K20="",M20=""),"",IF(J20&lt;&gt;"",K20/J20*H20/M20,IF(I20&lt;&gt;"",K20*I20/M20,"")))</f>
        <v>0.0115740740740741</v>
      </c>
      <c r="O20" s="18" t="str">
        <f aca="false">IF(N20="","",IF(N20&lt;FoodClasses!$C$2,"lean",IF(N20&lt;FoodClasses!$C$3,"medium","fatty")))</f>
        <v>lean</v>
      </c>
      <c r="P20" s="11" t="s">
        <v>920</v>
      </c>
      <c r="Q20" s="11" t="s">
        <v>494</v>
      </c>
      <c r="R20" s="24" t="s">
        <v>798</v>
      </c>
      <c r="S20" s="10" t="s">
        <v>954</v>
      </c>
      <c r="T20" s="11"/>
      <c r="U20" s="10" t="s">
        <v>895</v>
      </c>
      <c r="V20" s="10" t="s">
        <v>801</v>
      </c>
      <c r="W20" s="10"/>
      <c r="X20" s="10" t="s">
        <v>955</v>
      </c>
      <c r="Y20" s="10"/>
      <c r="Z20" s="10" t="s">
        <v>956</v>
      </c>
      <c r="AA20" s="10" t="s">
        <v>957</v>
      </c>
      <c r="AB20" s="10" t="s">
        <v>958</v>
      </c>
    </row>
    <row r="21" customFormat="false" ht="35.05" hidden="false" customHeight="false" outlineLevel="0" collapsed="false">
      <c r="A21" s="10" t="s">
        <v>959</v>
      </c>
      <c r="B21" s="10" t="s">
        <v>960</v>
      </c>
      <c r="C21" s="10" t="s">
        <v>961</v>
      </c>
      <c r="D21" s="10"/>
      <c r="E21" s="10" t="s">
        <v>919</v>
      </c>
      <c r="F21" s="11" t="n">
        <v>9</v>
      </c>
      <c r="G21" s="11" t="n">
        <v>255</v>
      </c>
      <c r="H21" s="18" t="n">
        <f aca="false">IF(G21&lt;&gt;"",G21,IF(F21&lt;&gt;"",ROUND(F21*28.3495,0),""))</f>
        <v>255</v>
      </c>
      <c r="I21" s="11" t="n">
        <v>1</v>
      </c>
      <c r="J21" s="11"/>
      <c r="K21" s="11" t="n">
        <v>13</v>
      </c>
      <c r="L21" s="11" t="n">
        <v>0</v>
      </c>
      <c r="M21" s="18" t="n">
        <f aca="false">IF(H21="","",H21+L21)</f>
        <v>255</v>
      </c>
      <c r="N21" s="23" t="n">
        <f aca="false">IF(OR(K21="",M21=""),"",IF(J21&lt;&gt;"",K21/J21*H21/M21,IF(I21&lt;&gt;"",K21*I21/M21,"")))</f>
        <v>0.0509803921568627</v>
      </c>
      <c r="O21" s="18" t="str">
        <f aca="false">IF(N21="","",IF(N21&lt;FoodClasses!$C$2,"lean",IF(N21&lt;FoodClasses!$C$3,"medium","fatty")))</f>
        <v>medium</v>
      </c>
      <c r="P21" s="11" t="s">
        <v>920</v>
      </c>
      <c r="Q21" s="11" t="s">
        <v>494</v>
      </c>
      <c r="R21" s="24" t="s">
        <v>798</v>
      </c>
      <c r="S21" s="10" t="s">
        <v>962</v>
      </c>
      <c r="T21" s="11"/>
      <c r="U21" s="10" t="s">
        <v>848</v>
      </c>
      <c r="V21" s="10" t="s">
        <v>801</v>
      </c>
      <c r="W21" s="10" t="s">
        <v>963</v>
      </c>
      <c r="X21" s="10" t="s">
        <v>964</v>
      </c>
      <c r="Y21" s="10"/>
      <c r="Z21" s="10" t="s">
        <v>965</v>
      </c>
      <c r="AA21" s="10" t="s">
        <v>966</v>
      </c>
      <c r="AB21" s="10" t="s">
        <v>967</v>
      </c>
    </row>
    <row r="22" customFormat="false" ht="23.85" hidden="false" customHeight="false" outlineLevel="0" collapsed="false">
      <c r="A22" s="10" t="s">
        <v>968</v>
      </c>
      <c r="B22" s="10" t="s">
        <v>960</v>
      </c>
      <c r="C22" s="10" t="s">
        <v>969</v>
      </c>
      <c r="D22" s="10"/>
      <c r="E22" s="10" t="s">
        <v>919</v>
      </c>
      <c r="F22" s="11" t="n">
        <v>9</v>
      </c>
      <c r="G22" s="11"/>
      <c r="H22" s="18" t="n">
        <f aca="false">IF(G22&lt;&gt;"",G22,IF(F22&lt;&gt;"",ROUND(F22*28.3495,0),""))</f>
        <v>255</v>
      </c>
      <c r="I22" s="11" t="n">
        <v>1</v>
      </c>
      <c r="J22" s="11"/>
      <c r="K22" s="11" t="n">
        <v>8</v>
      </c>
      <c r="L22" s="11" t="n">
        <v>0</v>
      </c>
      <c r="M22" s="18" t="n">
        <f aca="false">IF(H22="","",H22+L22)</f>
        <v>255</v>
      </c>
      <c r="N22" s="23" t="n">
        <f aca="false">IF(OR(K22="",M22=""),"",IF(J22&lt;&gt;"",K22/J22*H22/M22,IF(I22&lt;&gt;"",K22*I22/M22,"")))</f>
        <v>0.0313725490196078</v>
      </c>
      <c r="O22" s="18" t="str">
        <f aca="false">IF(N22="","",IF(N22&lt;FoodClasses!$C$2,"lean",IF(N22&lt;FoodClasses!$C$3,"medium","fatty")))</f>
        <v>medium</v>
      </c>
      <c r="P22" s="11" t="s">
        <v>920</v>
      </c>
      <c r="Q22" s="11" t="s">
        <v>494</v>
      </c>
      <c r="R22" s="24" t="s">
        <v>798</v>
      </c>
      <c r="S22" s="10" t="s">
        <v>970</v>
      </c>
      <c r="T22" s="11"/>
      <c r="U22" s="10" t="s">
        <v>895</v>
      </c>
      <c r="V22" s="10" t="s">
        <v>801</v>
      </c>
      <c r="W22" s="10"/>
      <c r="X22" s="10"/>
      <c r="Y22" s="10"/>
      <c r="Z22" s="10" t="s">
        <v>971</v>
      </c>
      <c r="AA22" s="10" t="s">
        <v>972</v>
      </c>
      <c r="AB22" s="10" t="s">
        <v>973</v>
      </c>
    </row>
    <row r="23" customFormat="false" ht="46.25" hidden="false" customHeight="false" outlineLevel="0" collapsed="false">
      <c r="A23" s="10" t="s">
        <v>974</v>
      </c>
      <c r="B23" s="10" t="s">
        <v>975</v>
      </c>
      <c r="C23" s="10" t="s">
        <v>976</v>
      </c>
      <c r="D23" s="10"/>
      <c r="E23" s="10" t="s">
        <v>919</v>
      </c>
      <c r="F23" s="11" t="n">
        <v>7.5</v>
      </c>
      <c r="G23" s="11"/>
      <c r="H23" s="18" t="n">
        <f aca="false">IF(G23&lt;&gt;"",G23,IF(F23&lt;&gt;"",ROUND(F23*28.3495,0),""))</f>
        <v>213</v>
      </c>
      <c r="I23" s="11"/>
      <c r="J23" s="11"/>
      <c r="K23" s="11"/>
      <c r="L23" s="11" t="n">
        <v>0</v>
      </c>
      <c r="M23" s="18" t="n">
        <f aca="false">IF(H23="","",H23+L23)</f>
        <v>213</v>
      </c>
      <c r="N23" s="23" t="str">
        <f aca="false">IF(OR(K23="",M23=""),"",IF(J23&lt;&gt;"",K23/J23*H23/M23,IF(I23&lt;&gt;"",K23*I23/M23,"")))</f>
        <v/>
      </c>
      <c r="O23" s="18" t="str">
        <f aca="false">IF(N23="","",IF(N23&lt;FoodClasses!$C$2,"lean",IF(N23&lt;FoodClasses!$C$3,"medium","fatty")))</f>
        <v/>
      </c>
      <c r="P23" s="11" t="s">
        <v>920</v>
      </c>
      <c r="Q23" s="11" t="s">
        <v>494</v>
      </c>
      <c r="R23" s="24" t="s">
        <v>798</v>
      </c>
      <c r="S23" s="10" t="s">
        <v>977</v>
      </c>
      <c r="T23" s="11"/>
      <c r="U23" s="10" t="s">
        <v>895</v>
      </c>
      <c r="V23" s="10" t="s">
        <v>801</v>
      </c>
      <c r="W23" s="10"/>
      <c r="X23" s="10"/>
      <c r="Y23" s="10"/>
      <c r="Z23" s="10"/>
      <c r="AA23" s="10" t="s">
        <v>978</v>
      </c>
      <c r="AB23" s="10" t="s">
        <v>979</v>
      </c>
    </row>
    <row r="24" customFormat="false" ht="35.05" hidden="false" customHeight="false" outlineLevel="0" collapsed="false">
      <c r="A24" s="10" t="s">
        <v>980</v>
      </c>
      <c r="B24" s="10" t="s">
        <v>981</v>
      </c>
      <c r="C24" s="10" t="s">
        <v>982</v>
      </c>
      <c r="D24" s="10" t="s">
        <v>983</v>
      </c>
      <c r="E24" s="10" t="s">
        <v>521</v>
      </c>
      <c r="F24" s="11" t="n">
        <v>10.8</v>
      </c>
      <c r="G24" s="11" t="n">
        <v>306</v>
      </c>
      <c r="H24" s="18" t="n">
        <f aca="false">IF(G24&lt;&gt;"",G24,IF(F24&lt;&gt;"",ROUND(F24*28.3495,0),""))</f>
        <v>306</v>
      </c>
      <c r="I24" s="11"/>
      <c r="J24" s="11"/>
      <c r="K24" s="11"/>
      <c r="L24" s="11" t="n">
        <v>0</v>
      </c>
      <c r="M24" s="18" t="n">
        <f aca="false">IF(H24="","",H24+L24)</f>
        <v>306</v>
      </c>
      <c r="N24" s="23" t="str">
        <f aca="false">IF(OR(K24="",M24=""),"",IF(J24&lt;&gt;"",K24/J24*H24/M24,IF(I24&lt;&gt;"",K24*I24/M24,"")))</f>
        <v/>
      </c>
      <c r="O24" s="18" t="str">
        <f aca="false">IF(N24="","",IF(N24&lt;FoodClasses!$C$2,"lean",IF(N24&lt;FoodClasses!$C$3,"medium","fatty")))</f>
        <v/>
      </c>
      <c r="P24" s="11" t="s">
        <v>797</v>
      </c>
      <c r="Q24" s="11" t="s">
        <v>521</v>
      </c>
      <c r="R24" s="11" t="s">
        <v>177</v>
      </c>
      <c r="S24" s="10" t="s">
        <v>984</v>
      </c>
      <c r="T24" s="11"/>
      <c r="U24" s="10" t="s">
        <v>800</v>
      </c>
      <c r="V24" s="10" t="s">
        <v>801</v>
      </c>
      <c r="W24" s="10" t="s">
        <v>985</v>
      </c>
      <c r="X24" s="10" t="s">
        <v>986</v>
      </c>
      <c r="Y24" s="10"/>
      <c r="Z24" s="10" t="s">
        <v>987</v>
      </c>
      <c r="AA24" s="10" t="s">
        <v>988</v>
      </c>
      <c r="AB24" s="10" t="s">
        <v>989</v>
      </c>
    </row>
    <row r="25" customFormat="false" ht="35.05" hidden="false" customHeight="false" outlineLevel="0" collapsed="false">
      <c r="A25" s="10" t="s">
        <v>990</v>
      </c>
      <c r="B25" s="10" t="s">
        <v>981</v>
      </c>
      <c r="C25" s="10" t="s">
        <v>991</v>
      </c>
      <c r="D25" s="10" t="s">
        <v>992</v>
      </c>
      <c r="E25" s="10" t="s">
        <v>521</v>
      </c>
      <c r="F25" s="11" t="n">
        <v>12.8</v>
      </c>
      <c r="G25" s="11" t="n">
        <v>363</v>
      </c>
      <c r="H25" s="18" t="n">
        <f aca="false">IF(G25&lt;&gt;"",G25,IF(F25&lt;&gt;"",ROUND(F25*28.3495,0),""))</f>
        <v>363</v>
      </c>
      <c r="I25" s="11" t="n">
        <v>1</v>
      </c>
      <c r="J25" s="11" t="n">
        <v>363</v>
      </c>
      <c r="K25" s="11" t="n">
        <v>5</v>
      </c>
      <c r="L25" s="11" t="n">
        <v>0</v>
      </c>
      <c r="M25" s="18" t="n">
        <f aca="false">IF(H25="","",H25+L25)</f>
        <v>363</v>
      </c>
      <c r="N25" s="23" t="n">
        <f aca="false">IF(OR(K25="",M25=""),"",IF(J25&lt;&gt;"",K25/J25*H25/M25,IF(I25&lt;&gt;"",K25*I25/M25,"")))</f>
        <v>0.0137741046831956</v>
      </c>
      <c r="O25" s="18" t="str">
        <f aca="false">IF(N25="","",IF(N25&lt;FoodClasses!$C$2,"lean",IF(N25&lt;FoodClasses!$C$3,"medium","fatty")))</f>
        <v>lean</v>
      </c>
      <c r="P25" s="11" t="s">
        <v>797</v>
      </c>
      <c r="Q25" s="11" t="s">
        <v>521</v>
      </c>
      <c r="R25" s="11" t="s">
        <v>177</v>
      </c>
      <c r="S25" s="10" t="s">
        <v>984</v>
      </c>
      <c r="T25" s="11"/>
      <c r="U25" s="10" t="s">
        <v>800</v>
      </c>
      <c r="V25" s="10" t="s">
        <v>801</v>
      </c>
      <c r="W25" s="10" t="s">
        <v>985</v>
      </c>
      <c r="X25" s="10" t="s">
        <v>993</v>
      </c>
      <c r="Y25" s="10"/>
      <c r="Z25" s="10" t="s">
        <v>994</v>
      </c>
      <c r="AA25" s="10"/>
      <c r="AB25" s="10" t="s">
        <v>995</v>
      </c>
    </row>
    <row r="26" customFormat="false" ht="35.05" hidden="false" customHeight="false" outlineLevel="0" collapsed="false">
      <c r="A26" s="10" t="s">
        <v>996</v>
      </c>
      <c r="B26" s="10" t="s">
        <v>981</v>
      </c>
      <c r="C26" s="10" t="s">
        <v>997</v>
      </c>
      <c r="D26" s="10" t="s">
        <v>998</v>
      </c>
      <c r="E26" s="10" t="s">
        <v>521</v>
      </c>
      <c r="F26" s="11" t="n">
        <v>11.5</v>
      </c>
      <c r="G26" s="11" t="n">
        <v>326</v>
      </c>
      <c r="H26" s="18" t="n">
        <f aca="false">IF(G26&lt;&gt;"",G26,IF(F26&lt;&gt;"",ROUND(F26*28.3495,0),""))</f>
        <v>326</v>
      </c>
      <c r="I26" s="11" t="n">
        <v>1</v>
      </c>
      <c r="J26" s="11" t="n">
        <v>326</v>
      </c>
      <c r="K26" s="11" t="n">
        <v>6</v>
      </c>
      <c r="L26" s="11" t="n">
        <v>0</v>
      </c>
      <c r="M26" s="18" t="n">
        <f aca="false">IF(H26="","",H26+L26)</f>
        <v>326</v>
      </c>
      <c r="N26" s="23" t="n">
        <f aca="false">IF(OR(K26="",M26=""),"",IF(J26&lt;&gt;"",K26/J26*H26/M26,IF(I26&lt;&gt;"",K26*I26/M26,"")))</f>
        <v>0.0184049079754601</v>
      </c>
      <c r="O26" s="18" t="str">
        <f aca="false">IF(N26="","",IF(N26&lt;FoodClasses!$C$2,"lean",IF(N26&lt;FoodClasses!$C$3,"medium","fatty")))</f>
        <v>lean</v>
      </c>
      <c r="P26" s="11" t="s">
        <v>797</v>
      </c>
      <c r="Q26" s="11" t="s">
        <v>521</v>
      </c>
      <c r="R26" s="11" t="s">
        <v>177</v>
      </c>
      <c r="S26" s="10" t="s">
        <v>984</v>
      </c>
      <c r="T26" s="11" t="n">
        <v>1100</v>
      </c>
      <c r="U26" s="10" t="s">
        <v>800</v>
      </c>
      <c r="V26" s="10" t="s">
        <v>801</v>
      </c>
      <c r="W26" s="10" t="s">
        <v>999</v>
      </c>
      <c r="X26" s="10" t="s">
        <v>1000</v>
      </c>
      <c r="Y26" s="10"/>
      <c r="Z26" s="10" t="s">
        <v>1001</v>
      </c>
      <c r="AA26" s="10" t="s">
        <v>1002</v>
      </c>
      <c r="AB26" s="10" t="s">
        <v>1003</v>
      </c>
    </row>
    <row r="27" customFormat="false" ht="35.05" hidden="false" customHeight="false" outlineLevel="0" collapsed="false">
      <c r="A27" s="10" t="s">
        <v>1004</v>
      </c>
      <c r="B27" s="10" t="s">
        <v>1005</v>
      </c>
      <c r="C27" s="10" t="s">
        <v>1006</v>
      </c>
      <c r="D27" s="10" t="s">
        <v>1007</v>
      </c>
      <c r="E27" s="10" t="s">
        <v>521</v>
      </c>
      <c r="F27" s="11" t="n">
        <v>10</v>
      </c>
      <c r="G27" s="11" t="n">
        <v>283</v>
      </c>
      <c r="H27" s="18" t="n">
        <f aca="false">IF(G27&lt;&gt;"",G27,IF(F27&lt;&gt;"",ROUND(F27*28.3495,0),""))</f>
        <v>283</v>
      </c>
      <c r="I27" s="11" t="n">
        <v>3</v>
      </c>
      <c r="J27" s="11"/>
      <c r="K27" s="11" t="n">
        <v>0</v>
      </c>
      <c r="L27" s="11" t="n">
        <v>0</v>
      </c>
      <c r="M27" s="18" t="n">
        <f aca="false">IF(H27="","",H27+L27)</f>
        <v>283</v>
      </c>
      <c r="N27" s="23" t="n">
        <f aca="false">IF(OR(K27="",M27=""),"",IF(J27&lt;&gt;"",K27/J27*H27/M27,IF(I27&lt;&gt;"",K27*I27/M27,"")))</f>
        <v>0</v>
      </c>
      <c r="O27" s="18" t="str">
        <f aca="false">IF(N27="","",IF(N27&lt;FoodClasses!$C$2,"lean",IF(N27&lt;FoodClasses!$C$3,"medium","fatty")))</f>
        <v>lean</v>
      </c>
      <c r="P27" s="11" t="s">
        <v>797</v>
      </c>
      <c r="Q27" s="11" t="s">
        <v>521</v>
      </c>
      <c r="R27" s="11" t="s">
        <v>177</v>
      </c>
      <c r="S27" s="10" t="s">
        <v>984</v>
      </c>
      <c r="T27" s="11" t="n">
        <v>1000</v>
      </c>
      <c r="U27" s="10" t="s">
        <v>800</v>
      </c>
      <c r="V27" s="10" t="s">
        <v>801</v>
      </c>
      <c r="W27" s="10" t="s">
        <v>1008</v>
      </c>
      <c r="X27" s="10" t="s">
        <v>1009</v>
      </c>
      <c r="Y27" s="10"/>
      <c r="Z27" s="10" t="s">
        <v>1010</v>
      </c>
      <c r="AA27" s="10" t="s">
        <v>1011</v>
      </c>
      <c r="AB27" s="10" t="s">
        <v>1012</v>
      </c>
    </row>
    <row r="28" customFormat="false" ht="23.85" hidden="false" customHeight="false" outlineLevel="0" collapsed="false">
      <c r="A28" s="10" t="s">
        <v>1013</v>
      </c>
      <c r="B28" s="10" t="s">
        <v>1005</v>
      </c>
      <c r="C28" s="10" t="s">
        <v>1014</v>
      </c>
      <c r="D28" s="10" t="s">
        <v>1015</v>
      </c>
      <c r="E28" s="10" t="s">
        <v>521</v>
      </c>
      <c r="F28" s="11" t="n">
        <v>10</v>
      </c>
      <c r="G28" s="11" t="n">
        <v>283</v>
      </c>
      <c r="H28" s="18" t="n">
        <f aca="false">IF(G28&lt;&gt;"",G28,IF(F28&lt;&gt;"",ROUND(F28*28.3495,0),""))</f>
        <v>283</v>
      </c>
      <c r="I28" s="11"/>
      <c r="J28" s="11"/>
      <c r="K28" s="11"/>
      <c r="L28" s="11" t="n">
        <v>0</v>
      </c>
      <c r="M28" s="18" t="n">
        <f aca="false">IF(H28="","",H28+L28)</f>
        <v>283</v>
      </c>
      <c r="N28" s="23" t="str">
        <f aca="false">IF(OR(K28="",M28=""),"",IF(J28&lt;&gt;"",K28/J28*H28/M28,IF(I28&lt;&gt;"",K28*I28/M28,"")))</f>
        <v/>
      </c>
      <c r="O28" s="18" t="str">
        <f aca="false">IF(N28="","",IF(N28&lt;FoodClasses!$C$2,"lean",IF(N28&lt;FoodClasses!$C$3,"medium","fatty")))</f>
        <v/>
      </c>
      <c r="P28" s="11" t="s">
        <v>797</v>
      </c>
      <c r="Q28" s="11" t="s">
        <v>521</v>
      </c>
      <c r="R28" s="11" t="s">
        <v>177</v>
      </c>
      <c r="S28" s="10" t="s">
        <v>984</v>
      </c>
      <c r="T28" s="11" t="n">
        <v>1000</v>
      </c>
      <c r="U28" s="10" t="s">
        <v>800</v>
      </c>
      <c r="V28" s="10" t="s">
        <v>801</v>
      </c>
      <c r="W28" s="10" t="s">
        <v>1008</v>
      </c>
      <c r="X28" s="10" t="s">
        <v>1009</v>
      </c>
      <c r="Y28" s="10"/>
      <c r="Z28" s="10" t="s">
        <v>1010</v>
      </c>
      <c r="AA28" s="10" t="s">
        <v>1016</v>
      </c>
      <c r="AB28" s="10" t="s">
        <v>1017</v>
      </c>
    </row>
    <row r="29" customFormat="false" ht="35.05" hidden="false" customHeight="false" outlineLevel="0" collapsed="false">
      <c r="A29" s="10" t="s">
        <v>1018</v>
      </c>
      <c r="B29" s="10" t="s">
        <v>1005</v>
      </c>
      <c r="C29" s="10" t="s">
        <v>1019</v>
      </c>
      <c r="D29" s="10" t="s">
        <v>1020</v>
      </c>
      <c r="E29" s="10" t="s">
        <v>521</v>
      </c>
      <c r="F29" s="11" t="n">
        <v>10</v>
      </c>
      <c r="G29" s="11" t="n">
        <v>283</v>
      </c>
      <c r="H29" s="18" t="n">
        <f aca="false">IF(G29&lt;&gt;"",G29,IF(F29&lt;&gt;"",ROUND(F29*28.3495,0),""))</f>
        <v>283</v>
      </c>
      <c r="I29" s="11" t="n">
        <v>2.5</v>
      </c>
      <c r="J29" s="11" t="n">
        <v>109</v>
      </c>
      <c r="K29" s="11" t="n">
        <v>1</v>
      </c>
      <c r="L29" s="11" t="n">
        <v>0</v>
      </c>
      <c r="M29" s="18" t="n">
        <f aca="false">IF(H29="","",H29+L29)</f>
        <v>283</v>
      </c>
      <c r="N29" s="23" t="n">
        <f aca="false">IF(OR(K29="",M29=""),"",IF(J29&lt;&gt;"",K29/J29*H29/M29,IF(I29&lt;&gt;"",K29*I29/M29,"")))</f>
        <v>0.00917431192660551</v>
      </c>
      <c r="O29" s="18" t="str">
        <f aca="false">IF(N29="","",IF(N29&lt;FoodClasses!$C$2,"lean",IF(N29&lt;FoodClasses!$C$3,"medium","fatty")))</f>
        <v>lean</v>
      </c>
      <c r="P29" s="11" t="s">
        <v>797</v>
      </c>
      <c r="Q29" s="11" t="s">
        <v>521</v>
      </c>
      <c r="R29" s="11" t="s">
        <v>177</v>
      </c>
      <c r="S29" s="10" t="s">
        <v>984</v>
      </c>
      <c r="T29" s="11"/>
      <c r="U29" s="10" t="s">
        <v>800</v>
      </c>
      <c r="V29" s="10" t="s">
        <v>801</v>
      </c>
      <c r="W29" s="10" t="s">
        <v>1021</v>
      </c>
      <c r="X29" s="10" t="s">
        <v>1022</v>
      </c>
      <c r="Y29" s="10"/>
      <c r="Z29" s="10" t="s">
        <v>1023</v>
      </c>
      <c r="AA29" s="10" t="s">
        <v>1024</v>
      </c>
      <c r="AB29" s="10" t="s">
        <v>1025</v>
      </c>
    </row>
    <row r="30" customFormat="false" ht="23.85" hidden="false" customHeight="false" outlineLevel="0" collapsed="false">
      <c r="A30" s="10" t="s">
        <v>1026</v>
      </c>
      <c r="B30" s="10" t="s">
        <v>1027</v>
      </c>
      <c r="C30" s="10" t="s">
        <v>1028</v>
      </c>
      <c r="D30" s="10"/>
      <c r="E30" s="10" t="s">
        <v>528</v>
      </c>
      <c r="F30" s="11" t="n">
        <v>8.5</v>
      </c>
      <c r="G30" s="11"/>
      <c r="H30" s="18" t="n">
        <f aca="false">IF(G30&lt;&gt;"",G30,IF(F30&lt;&gt;"",ROUND(F30*28.3495,0),""))</f>
        <v>241</v>
      </c>
      <c r="I30" s="11"/>
      <c r="J30" s="11"/>
      <c r="K30" s="11" t="n">
        <v>3</v>
      </c>
      <c r="L30" s="11" t="n">
        <v>0</v>
      </c>
      <c r="M30" s="18" t="n">
        <f aca="false">IF(H30="","",H30+L30)</f>
        <v>241</v>
      </c>
      <c r="N30" s="23" t="str">
        <f aca="false">IF(OR(K30="",M30=""),"",IF(J30&lt;&gt;"",K30/J30*H30/M30,IF(I30&lt;&gt;"",K30*I30/M30,"")))</f>
        <v/>
      </c>
      <c r="O30" s="18" t="str">
        <f aca="false">IF(N30="","",IF(N30&lt;FoodClasses!$C$2,"lean",IF(N30&lt;FoodClasses!$C$3,"medium","fatty")))</f>
        <v/>
      </c>
      <c r="P30" s="11" t="s">
        <v>920</v>
      </c>
      <c r="Q30" s="11" t="s">
        <v>528</v>
      </c>
      <c r="R30" s="11" t="s">
        <v>177</v>
      </c>
      <c r="S30" s="10" t="s">
        <v>1029</v>
      </c>
      <c r="T30" s="11"/>
      <c r="U30" s="10" t="s">
        <v>848</v>
      </c>
      <c r="V30" s="10" t="s">
        <v>801</v>
      </c>
      <c r="W30" s="10"/>
      <c r="X30" s="10"/>
      <c r="Y30" s="10"/>
      <c r="Z30" s="10" t="s">
        <v>1030</v>
      </c>
      <c r="AA30" s="10" t="s">
        <v>1031</v>
      </c>
      <c r="AB30" s="10" t="s">
        <v>1032</v>
      </c>
    </row>
    <row r="31" customFormat="false" ht="23.85" hidden="false" customHeight="false" outlineLevel="0" collapsed="false">
      <c r="A31" s="10" t="s">
        <v>1033</v>
      </c>
      <c r="B31" s="10" t="s">
        <v>1027</v>
      </c>
      <c r="C31" s="10" t="s">
        <v>1034</v>
      </c>
      <c r="D31" s="10"/>
      <c r="E31" s="10" t="s">
        <v>528</v>
      </c>
      <c r="F31" s="11" t="n">
        <v>8.8</v>
      </c>
      <c r="G31" s="11"/>
      <c r="H31" s="18" t="n">
        <f aca="false">IF(G31&lt;&gt;"",G31,IF(F31&lt;&gt;"",ROUND(F31*28.3495,0),""))</f>
        <v>249</v>
      </c>
      <c r="I31" s="11"/>
      <c r="J31" s="11" t="n">
        <v>144</v>
      </c>
      <c r="K31" s="11" t="n">
        <v>3</v>
      </c>
      <c r="L31" s="11" t="n">
        <v>0</v>
      </c>
      <c r="M31" s="18" t="n">
        <f aca="false">IF(H31="","",H31+L31)</f>
        <v>249</v>
      </c>
      <c r="N31" s="23" t="n">
        <f aca="false">IF(OR(K31="",M31=""),"",IF(J31&lt;&gt;"",K31/J31*H31/M31,IF(I31&lt;&gt;"",K31*I31/M31,"")))</f>
        <v>0.0208333333333333</v>
      </c>
      <c r="O31" s="18" t="str">
        <f aca="false">IF(N31="","",IF(N31&lt;FoodClasses!$C$2,"lean",IF(N31&lt;FoodClasses!$C$3,"medium","fatty")))</f>
        <v>lean</v>
      </c>
      <c r="P31" s="11" t="s">
        <v>920</v>
      </c>
      <c r="Q31" s="11" t="s">
        <v>528</v>
      </c>
      <c r="R31" s="11" t="s">
        <v>177</v>
      </c>
      <c r="S31" s="10" t="s">
        <v>1029</v>
      </c>
      <c r="T31" s="11"/>
      <c r="U31" s="10" t="s">
        <v>848</v>
      </c>
      <c r="V31" s="10" t="s">
        <v>801</v>
      </c>
      <c r="W31" s="10"/>
      <c r="X31" s="10"/>
      <c r="Y31" s="10"/>
      <c r="Z31" s="10" t="s">
        <v>1035</v>
      </c>
      <c r="AA31" s="10" t="s">
        <v>1036</v>
      </c>
      <c r="AB31" s="10" t="s">
        <v>1037</v>
      </c>
    </row>
    <row r="32" customFormat="false" ht="57.45" hidden="false" customHeight="false" outlineLevel="0" collapsed="false">
      <c r="A32" s="10" t="s">
        <v>1038</v>
      </c>
      <c r="B32" s="10" t="s">
        <v>1039</v>
      </c>
      <c r="C32" s="10" t="s">
        <v>1040</v>
      </c>
      <c r="D32" s="10"/>
      <c r="E32" s="10" t="s">
        <v>1041</v>
      </c>
      <c r="F32" s="11" t="n">
        <v>10</v>
      </c>
      <c r="G32" s="11"/>
      <c r="H32" s="18" t="n">
        <f aca="false">IF(G32&lt;&gt;"",G32,IF(F32&lt;&gt;"",ROUND(F32*28.3495,0),""))</f>
        <v>283</v>
      </c>
      <c r="I32" s="11" t="n">
        <v>2</v>
      </c>
      <c r="J32" s="11" t="n">
        <v>140</v>
      </c>
      <c r="K32" s="11" t="n">
        <v>14</v>
      </c>
      <c r="L32" s="11" t="n">
        <v>0</v>
      </c>
      <c r="M32" s="18" t="n">
        <f aca="false">IF(H32="","",H32+L32)</f>
        <v>283</v>
      </c>
      <c r="N32" s="23" t="n">
        <f aca="false">IF(OR(K32="",M32=""),"",IF(J32&lt;&gt;"",K32/J32*H32/M32,IF(I32&lt;&gt;"",K32*I32/M32,"")))</f>
        <v>0.1</v>
      </c>
      <c r="O32" s="18" t="str">
        <f aca="false">IF(N32="","",IF(N32&lt;FoodClasses!$C$2,"lean",IF(N32&lt;FoodClasses!$C$3,"medium","fatty")))</f>
        <v>fatty</v>
      </c>
      <c r="P32" s="11" t="s">
        <v>797</v>
      </c>
      <c r="Q32" s="11" t="s">
        <v>505</v>
      </c>
      <c r="R32" s="11" t="s">
        <v>177</v>
      </c>
      <c r="S32" s="10" t="s">
        <v>1042</v>
      </c>
      <c r="T32" s="11"/>
      <c r="U32" s="10" t="s">
        <v>930</v>
      </c>
      <c r="V32" s="10" t="s">
        <v>931</v>
      </c>
      <c r="W32" s="10"/>
      <c r="X32" s="10" t="s">
        <v>1043</v>
      </c>
      <c r="Y32" s="10" t="s">
        <v>1044</v>
      </c>
      <c r="Z32" s="10" t="s">
        <v>1045</v>
      </c>
      <c r="AA32" s="10" t="s">
        <v>1046</v>
      </c>
      <c r="AB32" s="10" t="s">
        <v>1047</v>
      </c>
    </row>
    <row r="33" customFormat="false" ht="68.65" hidden="false" customHeight="false" outlineLevel="0" collapsed="false">
      <c r="A33" s="10" t="s">
        <v>1048</v>
      </c>
      <c r="B33" s="10" t="s">
        <v>1049</v>
      </c>
      <c r="C33" s="10" t="s">
        <v>1050</v>
      </c>
      <c r="D33" s="10"/>
      <c r="E33" s="10" t="s">
        <v>1041</v>
      </c>
      <c r="F33" s="11" t="n">
        <v>24.7</v>
      </c>
      <c r="G33" s="11" t="n">
        <v>702</v>
      </c>
      <c r="H33" s="18" t="n">
        <f aca="false">IF(G33&lt;&gt;"",G33,IF(F33&lt;&gt;"",ROUND(F33*28.3495,0),""))</f>
        <v>702</v>
      </c>
      <c r="I33" s="11" t="n">
        <v>5</v>
      </c>
      <c r="J33" s="11" t="n">
        <v>140</v>
      </c>
      <c r="K33" s="11" t="n">
        <v>13</v>
      </c>
      <c r="L33" s="11" t="n">
        <v>0</v>
      </c>
      <c r="M33" s="18" t="n">
        <f aca="false">IF(H33="","",H33+L33)</f>
        <v>702</v>
      </c>
      <c r="N33" s="23" t="n">
        <f aca="false">IF(OR(K33="",M33=""),"",IF(J33&lt;&gt;"",K33/J33*H33/M33,IF(I33&lt;&gt;"",K33*I33/M33,"")))</f>
        <v>0.0928571428571429</v>
      </c>
      <c r="O33" s="18" t="str">
        <f aca="false">IF(N33="","",IF(N33&lt;FoodClasses!$C$2,"lean",IF(N33&lt;FoodClasses!$C$3,"medium","fatty")))</f>
        <v>medium</v>
      </c>
      <c r="P33" s="11" t="s">
        <v>797</v>
      </c>
      <c r="Q33" s="11" t="s">
        <v>505</v>
      </c>
      <c r="R33" s="11" t="s">
        <v>177</v>
      </c>
      <c r="S33" s="10" t="s">
        <v>1051</v>
      </c>
      <c r="T33" s="11"/>
      <c r="U33" s="10" t="s">
        <v>930</v>
      </c>
      <c r="V33" s="10" t="s">
        <v>811</v>
      </c>
      <c r="W33" s="10"/>
      <c r="X33" s="10"/>
      <c r="Y33" s="10" t="s">
        <v>1052</v>
      </c>
      <c r="Z33" s="10" t="s">
        <v>1053</v>
      </c>
      <c r="AA33" s="10" t="s">
        <v>1054</v>
      </c>
      <c r="AB33" s="10" t="s">
        <v>1055</v>
      </c>
    </row>
    <row r="34" customFormat="false" ht="46.25" hidden="false" customHeight="false" outlineLevel="0" collapsed="false">
      <c r="A34" s="10" t="s">
        <v>1056</v>
      </c>
      <c r="B34" s="10" t="s">
        <v>819</v>
      </c>
      <c r="C34" s="10" t="s">
        <v>1057</v>
      </c>
      <c r="D34" s="10" t="s">
        <v>1058</v>
      </c>
      <c r="E34" s="10" t="s">
        <v>1041</v>
      </c>
      <c r="F34" s="11" t="n">
        <v>38</v>
      </c>
      <c r="G34" s="11" t="n">
        <v>1070</v>
      </c>
      <c r="H34" s="18" t="n">
        <f aca="false">IF(G34&lt;&gt;"",G34,IF(F34&lt;&gt;"",ROUND(F34*28.3495,0),""))</f>
        <v>1070</v>
      </c>
      <c r="I34" s="11" t="n">
        <v>4</v>
      </c>
      <c r="J34" s="11" t="n">
        <v>269</v>
      </c>
      <c r="K34" s="11" t="n">
        <v>20</v>
      </c>
      <c r="L34" s="11" t="n">
        <v>0</v>
      </c>
      <c r="M34" s="18" t="n">
        <f aca="false">IF(H34="","",H34+L34)</f>
        <v>1070</v>
      </c>
      <c r="N34" s="23" t="n">
        <f aca="false">IF(OR(K34="",M34=""),"",IF(J34&lt;&gt;"",K34/J34*H34/M34,IF(I34&lt;&gt;"",K34*I34/M34,"")))</f>
        <v>0.0743494423791822</v>
      </c>
      <c r="O34" s="18" t="str">
        <f aca="false">IF(N34="","",IF(N34&lt;FoodClasses!$C$2,"lean",IF(N34&lt;FoodClasses!$C$3,"medium","fatty")))</f>
        <v>medium</v>
      </c>
      <c r="P34" s="11" t="s">
        <v>797</v>
      </c>
      <c r="Q34" s="11" t="s">
        <v>486</v>
      </c>
      <c r="R34" s="24" t="s">
        <v>798</v>
      </c>
      <c r="S34" s="10" t="s">
        <v>1059</v>
      </c>
      <c r="T34" s="11" t="n">
        <v>1100</v>
      </c>
      <c r="U34" s="10" t="s">
        <v>848</v>
      </c>
      <c r="V34" s="10" t="s">
        <v>801</v>
      </c>
      <c r="W34" s="10" t="s">
        <v>823</v>
      </c>
      <c r="X34" s="10" t="s">
        <v>1060</v>
      </c>
      <c r="Y34" s="10" t="s">
        <v>1061</v>
      </c>
      <c r="Z34" s="10" t="s">
        <v>1062</v>
      </c>
      <c r="AA34" s="10" t="s">
        <v>1063</v>
      </c>
      <c r="AB34" s="10" t="s">
        <v>1064</v>
      </c>
    </row>
    <row r="35" customFormat="false" ht="202.95" hidden="false" customHeight="false" outlineLevel="0" collapsed="false">
      <c r="A35" s="10" t="s">
        <v>1065</v>
      </c>
      <c r="B35" s="10" t="s">
        <v>793</v>
      </c>
      <c r="C35" s="10" t="s">
        <v>1066</v>
      </c>
      <c r="D35" s="10" t="s">
        <v>1067</v>
      </c>
      <c r="E35" s="10" t="s">
        <v>796</v>
      </c>
      <c r="F35" s="11" t="n">
        <v>14</v>
      </c>
      <c r="G35" s="11" t="n">
        <v>396</v>
      </c>
      <c r="H35" s="18" t="n">
        <f aca="false">IF(G35&lt;&gt;"",G35,IF(F35&lt;&gt;"",ROUND(F35*28.3495,0),""))</f>
        <v>396</v>
      </c>
      <c r="I35" s="11" t="n">
        <v>1</v>
      </c>
      <c r="J35" s="11" t="n">
        <v>396</v>
      </c>
      <c r="K35" s="11" t="n">
        <v>30</v>
      </c>
      <c r="L35" s="11" t="n">
        <v>0</v>
      </c>
      <c r="M35" s="18" t="n">
        <f aca="false">IF(H35="","",H35+L35)</f>
        <v>396</v>
      </c>
      <c r="N35" s="23" t="n">
        <f aca="false">IF(OR(K35="",M35=""),"",IF(J35&lt;&gt;"",K35/J35*H35/M35,IF(I35&lt;&gt;"",K35*I35/M35,"")))</f>
        <v>0.0757575757575758</v>
      </c>
      <c r="O35" s="18" t="str">
        <f aca="false">IF(N35="","",IF(N35&lt;FoodClasses!$C$2,"lean",IF(N35&lt;FoodClasses!$C$3,"medium","fatty")))</f>
        <v>medium</v>
      </c>
      <c r="P35" s="11" t="s">
        <v>797</v>
      </c>
      <c r="Q35" s="11" t="s">
        <v>486</v>
      </c>
      <c r="R35" s="24" t="s">
        <v>798</v>
      </c>
      <c r="S35" s="10" t="s">
        <v>1068</v>
      </c>
      <c r="T35" s="11" t="n">
        <v>1100</v>
      </c>
      <c r="U35" s="10" t="s">
        <v>800</v>
      </c>
      <c r="V35" s="10" t="s">
        <v>801</v>
      </c>
      <c r="W35" s="10" t="s">
        <v>802</v>
      </c>
      <c r="X35" s="10" t="s">
        <v>1069</v>
      </c>
      <c r="Y35" s="10" t="s">
        <v>1070</v>
      </c>
      <c r="Z35" s="10" t="s">
        <v>1071</v>
      </c>
      <c r="AA35" s="10" t="s">
        <v>1072</v>
      </c>
      <c r="AB35" s="10" t="s">
        <v>1073</v>
      </c>
    </row>
    <row r="36" customFormat="false" ht="202.95" hidden="false" customHeight="false" outlineLevel="0" collapsed="false">
      <c r="A36" s="10" t="s">
        <v>1074</v>
      </c>
      <c r="B36" s="10" t="s">
        <v>793</v>
      </c>
      <c r="C36" s="10" t="s">
        <v>1075</v>
      </c>
      <c r="D36" s="10" t="s">
        <v>1076</v>
      </c>
      <c r="E36" s="10" t="s">
        <v>796</v>
      </c>
      <c r="F36" s="11" t="n">
        <v>14</v>
      </c>
      <c r="G36" s="11" t="n">
        <v>396</v>
      </c>
      <c r="H36" s="18" t="n">
        <f aca="false">IF(G36&lt;&gt;"",G36,IF(F36&lt;&gt;"",ROUND(F36*28.3495,0),""))</f>
        <v>396</v>
      </c>
      <c r="I36" s="11" t="n">
        <v>1</v>
      </c>
      <c r="J36" s="11" t="n">
        <v>396</v>
      </c>
      <c r="K36" s="11" t="n">
        <v>10</v>
      </c>
      <c r="L36" s="11" t="n">
        <v>0</v>
      </c>
      <c r="M36" s="18" t="n">
        <f aca="false">IF(H36="","",H36+L36)</f>
        <v>396</v>
      </c>
      <c r="N36" s="23" t="n">
        <f aca="false">IF(OR(K36="",M36=""),"",IF(J36&lt;&gt;"",K36/J36*H36/M36,IF(I36&lt;&gt;"",K36*I36/M36,"")))</f>
        <v>0.0252525252525253</v>
      </c>
      <c r="O36" s="18" t="str">
        <f aca="false">IF(N36="","",IF(N36&lt;FoodClasses!$C$2,"lean",IF(N36&lt;FoodClasses!$C$3,"medium","fatty")))</f>
        <v>lean</v>
      </c>
      <c r="P36" s="11" t="s">
        <v>797</v>
      </c>
      <c r="Q36" s="11" t="s">
        <v>486</v>
      </c>
      <c r="R36" s="24" t="s">
        <v>798</v>
      </c>
      <c r="S36" s="10" t="s">
        <v>1068</v>
      </c>
      <c r="T36" s="11" t="n">
        <v>1100</v>
      </c>
      <c r="U36" s="10" t="s">
        <v>800</v>
      </c>
      <c r="V36" s="10" t="s">
        <v>801</v>
      </c>
      <c r="W36" s="10" t="s">
        <v>802</v>
      </c>
      <c r="X36" s="10" t="s">
        <v>1069</v>
      </c>
      <c r="Y36" s="10" t="s">
        <v>1077</v>
      </c>
      <c r="Z36" s="10" t="s">
        <v>1071</v>
      </c>
      <c r="AA36" s="10" t="s">
        <v>1078</v>
      </c>
      <c r="AB36" s="10" t="s">
        <v>1079</v>
      </c>
    </row>
    <row r="37" customFormat="false" ht="202.95" hidden="false" customHeight="false" outlineLevel="0" collapsed="false">
      <c r="A37" s="10" t="s">
        <v>1080</v>
      </c>
      <c r="B37" s="10" t="s">
        <v>793</v>
      </c>
      <c r="C37" s="10" t="s">
        <v>1081</v>
      </c>
      <c r="D37" s="10" t="s">
        <v>1082</v>
      </c>
      <c r="E37" s="10" t="s">
        <v>796</v>
      </c>
      <c r="F37" s="11" t="n">
        <v>13</v>
      </c>
      <c r="G37" s="11" t="n">
        <v>368</v>
      </c>
      <c r="H37" s="18" t="n">
        <f aca="false">IF(G37&lt;&gt;"",G37,IF(F37&lt;&gt;"",ROUND(F37*28.3495,0),""))</f>
        <v>368</v>
      </c>
      <c r="I37" s="11" t="n">
        <v>1</v>
      </c>
      <c r="J37" s="11" t="n">
        <v>368</v>
      </c>
      <c r="K37" s="11" t="n">
        <v>18</v>
      </c>
      <c r="L37" s="11" t="n">
        <v>0</v>
      </c>
      <c r="M37" s="18" t="n">
        <f aca="false">IF(H37="","",H37+L37)</f>
        <v>368</v>
      </c>
      <c r="N37" s="23" t="n">
        <f aca="false">IF(OR(K37="",M37=""),"",IF(J37&lt;&gt;"",K37/J37*H37/M37,IF(I37&lt;&gt;"",K37*I37/M37,"")))</f>
        <v>0.0489130434782609</v>
      </c>
      <c r="O37" s="18" t="str">
        <f aca="false">IF(N37="","",IF(N37&lt;FoodClasses!$C$2,"lean",IF(N37&lt;FoodClasses!$C$3,"medium","fatty")))</f>
        <v>medium</v>
      </c>
      <c r="P37" s="11" t="s">
        <v>797</v>
      </c>
      <c r="Q37" s="11" t="s">
        <v>486</v>
      </c>
      <c r="R37" s="24" t="s">
        <v>798</v>
      </c>
      <c r="S37" s="10" t="s">
        <v>1068</v>
      </c>
      <c r="T37" s="11" t="n">
        <v>1100</v>
      </c>
      <c r="U37" s="10" t="s">
        <v>800</v>
      </c>
      <c r="V37" s="10" t="s">
        <v>801</v>
      </c>
      <c r="W37" s="10" t="s">
        <v>802</v>
      </c>
      <c r="X37" s="10" t="s">
        <v>1069</v>
      </c>
      <c r="Y37" s="10" t="s">
        <v>1083</v>
      </c>
      <c r="Z37" s="10" t="s">
        <v>1071</v>
      </c>
      <c r="AA37" s="10" t="s">
        <v>1072</v>
      </c>
      <c r="AB37" s="10" t="s">
        <v>1084</v>
      </c>
    </row>
    <row r="38" customFormat="false" ht="214.15" hidden="false" customHeight="false" outlineLevel="0" collapsed="false">
      <c r="A38" s="10" t="s">
        <v>1085</v>
      </c>
      <c r="B38" s="10" t="s">
        <v>793</v>
      </c>
      <c r="C38" s="10" t="s">
        <v>1086</v>
      </c>
      <c r="D38" s="10" t="s">
        <v>1087</v>
      </c>
      <c r="E38" s="10" t="s">
        <v>796</v>
      </c>
      <c r="F38" s="11" t="n">
        <v>11.88</v>
      </c>
      <c r="G38" s="11" t="n">
        <v>337</v>
      </c>
      <c r="H38" s="18" t="n">
        <f aca="false">IF(G38&lt;&gt;"",G38,IF(F38&lt;&gt;"",ROUND(F38*28.3495,0),""))</f>
        <v>337</v>
      </c>
      <c r="I38" s="11" t="n">
        <v>1</v>
      </c>
      <c r="J38" s="11" t="n">
        <v>337</v>
      </c>
      <c r="K38" s="11" t="n">
        <v>16</v>
      </c>
      <c r="L38" s="11" t="n">
        <v>0</v>
      </c>
      <c r="M38" s="18" t="n">
        <f aca="false">IF(H38="","",H38+L38)</f>
        <v>337</v>
      </c>
      <c r="N38" s="23" t="n">
        <f aca="false">IF(OR(K38="",M38=""),"",IF(J38&lt;&gt;"",K38/J38*H38/M38,IF(I38&lt;&gt;"",K38*I38/M38,"")))</f>
        <v>0.0474777448071217</v>
      </c>
      <c r="O38" s="18" t="str">
        <f aca="false">IF(N38="","",IF(N38&lt;FoodClasses!$C$2,"lean",IF(N38&lt;FoodClasses!$C$3,"medium","fatty")))</f>
        <v>medium</v>
      </c>
      <c r="P38" s="11" t="s">
        <v>797</v>
      </c>
      <c r="Q38" s="11" t="s">
        <v>486</v>
      </c>
      <c r="R38" s="24" t="s">
        <v>798</v>
      </c>
      <c r="S38" s="10" t="s">
        <v>1068</v>
      </c>
      <c r="T38" s="11" t="n">
        <v>1100</v>
      </c>
      <c r="U38" s="10" t="s">
        <v>800</v>
      </c>
      <c r="V38" s="10" t="s">
        <v>801</v>
      </c>
      <c r="W38" s="10" t="s">
        <v>802</v>
      </c>
      <c r="X38" s="10" t="s">
        <v>1069</v>
      </c>
      <c r="Y38" s="10" t="s">
        <v>1088</v>
      </c>
      <c r="Z38" s="10" t="s">
        <v>1089</v>
      </c>
      <c r="AA38" s="10" t="s">
        <v>1090</v>
      </c>
      <c r="AB38" s="10" t="s">
        <v>1091</v>
      </c>
    </row>
    <row r="39" customFormat="false" ht="202.95" hidden="false" customHeight="false" outlineLevel="0" collapsed="false">
      <c r="A39" s="10" t="s">
        <v>1092</v>
      </c>
      <c r="B39" s="10" t="s">
        <v>793</v>
      </c>
      <c r="C39" s="10" t="s">
        <v>1093</v>
      </c>
      <c r="D39" s="10" t="s">
        <v>1094</v>
      </c>
      <c r="E39" s="10" t="s">
        <v>796</v>
      </c>
      <c r="F39" s="11" t="n">
        <v>8</v>
      </c>
      <c r="G39" s="11" t="n">
        <v>227</v>
      </c>
      <c r="H39" s="18" t="n">
        <f aca="false">IF(G39&lt;&gt;"",G39,IF(F39&lt;&gt;"",ROUND(F39*28.3495,0),""))</f>
        <v>227</v>
      </c>
      <c r="I39" s="11" t="n">
        <v>1</v>
      </c>
      <c r="J39" s="11" t="n">
        <v>227</v>
      </c>
      <c r="K39" s="11" t="n">
        <v>17</v>
      </c>
      <c r="L39" s="11" t="n">
        <v>0</v>
      </c>
      <c r="M39" s="18" t="n">
        <f aca="false">IF(H39="","",H39+L39)</f>
        <v>227</v>
      </c>
      <c r="N39" s="23" t="n">
        <f aca="false">IF(OR(K39="",M39=""),"",IF(J39&lt;&gt;"",K39/J39*H39/M39,IF(I39&lt;&gt;"",K39*I39/M39,"")))</f>
        <v>0.0748898678414097</v>
      </c>
      <c r="O39" s="18" t="str">
        <f aca="false">IF(N39="","",IF(N39&lt;FoodClasses!$C$2,"lean",IF(N39&lt;FoodClasses!$C$3,"medium","fatty")))</f>
        <v>medium</v>
      </c>
      <c r="P39" s="11" t="s">
        <v>797</v>
      </c>
      <c r="Q39" s="11" t="s">
        <v>486</v>
      </c>
      <c r="R39" s="24" t="s">
        <v>798</v>
      </c>
      <c r="S39" s="10" t="s">
        <v>1068</v>
      </c>
      <c r="T39" s="11" t="n">
        <v>1100</v>
      </c>
      <c r="U39" s="10" t="s">
        <v>800</v>
      </c>
      <c r="V39" s="10" t="s">
        <v>801</v>
      </c>
      <c r="W39" s="10" t="s">
        <v>802</v>
      </c>
      <c r="X39" s="10" t="s">
        <v>1069</v>
      </c>
      <c r="Y39" s="10" t="s">
        <v>1095</v>
      </c>
      <c r="Z39" s="10" t="s">
        <v>1096</v>
      </c>
      <c r="AA39" s="10" t="s">
        <v>1097</v>
      </c>
      <c r="AB39" s="10" t="s">
        <v>1098</v>
      </c>
    </row>
    <row r="40" customFormat="false" ht="124.6" hidden="false" customHeight="false" outlineLevel="0" collapsed="false">
      <c r="A40" s="10" t="s">
        <v>1099</v>
      </c>
      <c r="B40" s="10" t="s">
        <v>808</v>
      </c>
      <c r="C40" s="10" t="s">
        <v>1100</v>
      </c>
      <c r="D40" s="10" t="s">
        <v>1101</v>
      </c>
      <c r="E40" s="10" t="s">
        <v>796</v>
      </c>
      <c r="F40" s="11" t="n">
        <v>9.65</v>
      </c>
      <c r="G40" s="11" t="n">
        <v>273</v>
      </c>
      <c r="H40" s="18" t="n">
        <f aca="false">IF(G40&lt;&gt;"",G40,IF(F40&lt;&gt;"",ROUND(F40*28.3495,0),""))</f>
        <v>273</v>
      </c>
      <c r="I40" s="11" t="n">
        <v>1</v>
      </c>
      <c r="J40" s="11" t="n">
        <v>273</v>
      </c>
      <c r="K40" s="11" t="n">
        <v>11</v>
      </c>
      <c r="L40" s="11" t="n">
        <v>0</v>
      </c>
      <c r="M40" s="18" t="n">
        <f aca="false">IF(H40="","",H40+L40)</f>
        <v>273</v>
      </c>
      <c r="N40" s="23" t="n">
        <f aca="false">IF(OR(K40="",M40=""),"",IF(J40&lt;&gt;"",K40/J40*H40/M40,IF(I40&lt;&gt;"",K40*I40/M40,"")))</f>
        <v>0.0402930402930403</v>
      </c>
      <c r="O40" s="18" t="str">
        <f aca="false">IF(N40="","",IF(N40&lt;FoodClasses!$C$2,"lean",IF(N40&lt;FoodClasses!$C$3,"medium","fatty")))</f>
        <v>medium</v>
      </c>
      <c r="P40" s="11" t="s">
        <v>797</v>
      </c>
      <c r="Q40" s="11" t="s">
        <v>494</v>
      </c>
      <c r="R40" s="24" t="s">
        <v>798</v>
      </c>
      <c r="S40" s="10" t="s">
        <v>1102</v>
      </c>
      <c r="T40" s="11" t="n">
        <v>1100</v>
      </c>
      <c r="U40" s="10" t="s">
        <v>800</v>
      </c>
      <c r="V40" s="10" t="s">
        <v>801</v>
      </c>
      <c r="W40" s="10" t="s">
        <v>802</v>
      </c>
      <c r="X40" s="10" t="s">
        <v>1103</v>
      </c>
      <c r="Y40" s="10"/>
      <c r="Z40" s="10" t="s">
        <v>1104</v>
      </c>
      <c r="AA40" s="10"/>
      <c r="AB40" s="10" t="s">
        <v>1105</v>
      </c>
    </row>
    <row r="41" customFormat="false" ht="147" hidden="false" customHeight="false" outlineLevel="0" collapsed="false">
      <c r="A41" s="10" t="s">
        <v>1106</v>
      </c>
      <c r="B41" s="10" t="s">
        <v>808</v>
      </c>
      <c r="C41" s="10" t="s">
        <v>1107</v>
      </c>
      <c r="D41" s="10" t="s">
        <v>1108</v>
      </c>
      <c r="E41" s="10" t="s">
        <v>796</v>
      </c>
      <c r="F41" s="11" t="n">
        <v>9.15</v>
      </c>
      <c r="G41" s="11" t="n">
        <v>259</v>
      </c>
      <c r="H41" s="18" t="n">
        <f aca="false">IF(G41&lt;&gt;"",G41,IF(F41&lt;&gt;"",ROUND(F41*28.3495,0),""))</f>
        <v>259</v>
      </c>
      <c r="I41" s="11" t="n">
        <v>1</v>
      </c>
      <c r="J41" s="11" t="n">
        <v>259</v>
      </c>
      <c r="K41" s="11" t="n">
        <v>5</v>
      </c>
      <c r="L41" s="11" t="n">
        <v>0</v>
      </c>
      <c r="M41" s="18" t="n">
        <f aca="false">IF(H41="","",H41+L41)</f>
        <v>259</v>
      </c>
      <c r="N41" s="23" t="n">
        <f aca="false">IF(OR(K41="",M41=""),"",IF(J41&lt;&gt;"",K41/J41*H41/M41,IF(I41&lt;&gt;"",K41*I41/M41,"")))</f>
        <v>0.0193050193050193</v>
      </c>
      <c r="O41" s="18" t="str">
        <f aca="false">IF(N41="","",IF(N41&lt;FoodClasses!$C$2,"lean",IF(N41&lt;FoodClasses!$C$3,"medium","fatty")))</f>
        <v>lean</v>
      </c>
      <c r="P41" s="11" t="s">
        <v>797</v>
      </c>
      <c r="Q41" s="11" t="s">
        <v>494</v>
      </c>
      <c r="R41" s="24" t="s">
        <v>798</v>
      </c>
      <c r="S41" s="10" t="s">
        <v>1102</v>
      </c>
      <c r="T41" s="11" t="n">
        <v>1100</v>
      </c>
      <c r="U41" s="10" t="s">
        <v>800</v>
      </c>
      <c r="V41" s="10" t="s">
        <v>801</v>
      </c>
      <c r="W41" s="10" t="s">
        <v>802</v>
      </c>
      <c r="X41" s="10" t="s">
        <v>1103</v>
      </c>
      <c r="Y41" s="10"/>
      <c r="Z41" s="10" t="s">
        <v>1109</v>
      </c>
      <c r="AA41" s="10" t="s">
        <v>1110</v>
      </c>
      <c r="AB41" s="10" t="s">
        <v>1111</v>
      </c>
    </row>
    <row r="42" customFormat="false" ht="135.8" hidden="false" customHeight="false" outlineLevel="0" collapsed="false">
      <c r="A42" s="10" t="s">
        <v>1112</v>
      </c>
      <c r="B42" s="10" t="s">
        <v>808</v>
      </c>
      <c r="C42" s="10" t="s">
        <v>1113</v>
      </c>
      <c r="D42" s="10" t="s">
        <v>1114</v>
      </c>
      <c r="E42" s="10" t="s">
        <v>796</v>
      </c>
      <c r="F42" s="11" t="n">
        <v>9.2</v>
      </c>
      <c r="G42" s="11"/>
      <c r="H42" s="18" t="n">
        <f aca="false">IF(G42&lt;&gt;"",G42,IF(F42&lt;&gt;"",ROUND(F42*28.3495,0),""))</f>
        <v>261</v>
      </c>
      <c r="I42" s="11" t="n">
        <v>1</v>
      </c>
      <c r="J42" s="11" t="n">
        <v>262</v>
      </c>
      <c r="K42" s="11" t="n">
        <v>4</v>
      </c>
      <c r="L42" s="11" t="n">
        <v>0</v>
      </c>
      <c r="M42" s="18" t="n">
        <f aca="false">IF(H42="","",H42+L42)</f>
        <v>261</v>
      </c>
      <c r="N42" s="23" t="n">
        <f aca="false">IF(OR(K42="",M42=""),"",IF(J42&lt;&gt;"",K42/J42*H42/M42,IF(I42&lt;&gt;"",K42*I42/M42,"")))</f>
        <v>0.0152671755725191</v>
      </c>
      <c r="O42" s="18" t="str">
        <f aca="false">IF(N42="","",IF(N42&lt;FoodClasses!$C$2,"lean",IF(N42&lt;FoodClasses!$C$3,"medium","fatty")))</f>
        <v>lean</v>
      </c>
      <c r="P42" s="11" t="s">
        <v>797</v>
      </c>
      <c r="Q42" s="11" t="s">
        <v>494</v>
      </c>
      <c r="R42" s="24" t="s">
        <v>798</v>
      </c>
      <c r="S42" s="10" t="s">
        <v>1102</v>
      </c>
      <c r="T42" s="11" t="n">
        <v>1100</v>
      </c>
      <c r="U42" s="10" t="s">
        <v>800</v>
      </c>
      <c r="V42" s="10" t="s">
        <v>801</v>
      </c>
      <c r="W42" s="10" t="s">
        <v>802</v>
      </c>
      <c r="X42" s="10" t="s">
        <v>1103</v>
      </c>
      <c r="Y42" s="10"/>
      <c r="Z42" s="10" t="s">
        <v>1115</v>
      </c>
      <c r="AA42" s="10" t="s">
        <v>1116</v>
      </c>
      <c r="AB42" s="10" t="s">
        <v>1117</v>
      </c>
    </row>
    <row r="43" customFormat="false" ht="135.8" hidden="false" customHeight="false" outlineLevel="0" collapsed="false">
      <c r="A43" s="10" t="s">
        <v>1118</v>
      </c>
      <c r="B43" s="10" t="s">
        <v>808</v>
      </c>
      <c r="C43" s="10" t="s">
        <v>1119</v>
      </c>
      <c r="D43" s="10" t="s">
        <v>1120</v>
      </c>
      <c r="E43" s="10" t="s">
        <v>796</v>
      </c>
      <c r="F43" s="11" t="n">
        <v>10.3</v>
      </c>
      <c r="G43" s="11"/>
      <c r="H43" s="18" t="n">
        <f aca="false">IF(G43&lt;&gt;"",G43,IF(F43&lt;&gt;"",ROUND(F43*28.3495,0),""))</f>
        <v>292</v>
      </c>
      <c r="I43" s="11" t="n">
        <v>1</v>
      </c>
      <c r="J43" s="11" t="n">
        <v>292</v>
      </c>
      <c r="K43" s="11" t="n">
        <v>3.5</v>
      </c>
      <c r="L43" s="11" t="n">
        <v>0</v>
      </c>
      <c r="M43" s="18" t="n">
        <f aca="false">IF(H43="","",H43+L43)</f>
        <v>292</v>
      </c>
      <c r="N43" s="23" t="n">
        <f aca="false">IF(OR(K43="",M43=""),"",IF(J43&lt;&gt;"",K43/J43*H43/M43,IF(I43&lt;&gt;"",K43*I43/M43,"")))</f>
        <v>0.011986301369863</v>
      </c>
      <c r="O43" s="18" t="str">
        <f aca="false">IF(N43="","",IF(N43&lt;FoodClasses!$C$2,"lean",IF(N43&lt;FoodClasses!$C$3,"medium","fatty")))</f>
        <v>lean</v>
      </c>
      <c r="P43" s="11" t="s">
        <v>797</v>
      </c>
      <c r="Q43" s="11" t="s">
        <v>494</v>
      </c>
      <c r="R43" s="24" t="s">
        <v>798</v>
      </c>
      <c r="S43" s="10" t="s">
        <v>1102</v>
      </c>
      <c r="T43" s="11" t="n">
        <v>1100</v>
      </c>
      <c r="U43" s="10" t="s">
        <v>800</v>
      </c>
      <c r="V43" s="10" t="s">
        <v>801</v>
      </c>
      <c r="W43" s="10" t="s">
        <v>802</v>
      </c>
      <c r="X43" s="10" t="s">
        <v>1103</v>
      </c>
      <c r="Y43" s="10"/>
      <c r="Z43" s="10" t="s">
        <v>1115</v>
      </c>
      <c r="AA43" s="10" t="s">
        <v>1121</v>
      </c>
      <c r="AB43" s="10" t="s">
        <v>1122</v>
      </c>
    </row>
    <row r="44" customFormat="false" ht="202.95" hidden="false" customHeight="false" outlineLevel="0" collapsed="false">
      <c r="A44" s="10" t="s">
        <v>1123</v>
      </c>
      <c r="B44" s="10" t="s">
        <v>819</v>
      </c>
      <c r="C44" s="10" t="s">
        <v>1124</v>
      </c>
      <c r="D44" s="10" t="s">
        <v>1125</v>
      </c>
      <c r="E44" s="10" t="s">
        <v>796</v>
      </c>
      <c r="F44" s="11" t="n">
        <v>12</v>
      </c>
      <c r="G44" s="11" t="n">
        <v>340</v>
      </c>
      <c r="H44" s="18" t="n">
        <f aca="false">IF(G44&lt;&gt;"",G44,IF(F44&lt;&gt;"",ROUND(F44*28.3495,0),""))</f>
        <v>340</v>
      </c>
      <c r="I44" s="11"/>
      <c r="J44" s="11"/>
      <c r="K44" s="11"/>
      <c r="L44" s="11" t="n">
        <v>0</v>
      </c>
      <c r="M44" s="18" t="n">
        <f aca="false">IF(H44="","",H44+L44)</f>
        <v>340</v>
      </c>
      <c r="N44" s="23" t="str">
        <f aca="false">IF(OR(K44="",M44=""),"",IF(J44&lt;&gt;"",K44/J44*H44/M44,IF(I44&lt;&gt;"",K44*I44/M44,"")))</f>
        <v/>
      </c>
      <c r="O44" s="18" t="str">
        <f aca="false">IF(N44="","",IF(N44&lt;FoodClasses!$C$2,"lean",IF(N44&lt;FoodClasses!$C$3,"medium","fatty")))</f>
        <v/>
      </c>
      <c r="P44" s="11" t="s">
        <v>797</v>
      </c>
      <c r="Q44" s="11" t="s">
        <v>486</v>
      </c>
      <c r="R44" s="24" t="s">
        <v>798</v>
      </c>
      <c r="S44" s="10" t="s">
        <v>1068</v>
      </c>
      <c r="T44" s="11" t="n">
        <v>1100</v>
      </c>
      <c r="U44" s="10" t="s">
        <v>800</v>
      </c>
      <c r="V44" s="10" t="s">
        <v>801</v>
      </c>
      <c r="W44" s="10" t="s">
        <v>802</v>
      </c>
      <c r="X44" s="10" t="s">
        <v>1069</v>
      </c>
      <c r="Y44" s="10" t="s">
        <v>1126</v>
      </c>
      <c r="Z44" s="10" t="s">
        <v>1127</v>
      </c>
      <c r="AA44" s="10" t="s">
        <v>1128</v>
      </c>
      <c r="AB44" s="10" t="s">
        <v>1129</v>
      </c>
    </row>
    <row r="45" customFormat="false" ht="202.95" hidden="false" customHeight="false" outlineLevel="0" collapsed="false">
      <c r="A45" s="10" t="s">
        <v>1130</v>
      </c>
      <c r="B45" s="10" t="s">
        <v>819</v>
      </c>
      <c r="C45" s="10" t="s">
        <v>1131</v>
      </c>
      <c r="D45" s="10" t="s">
        <v>1132</v>
      </c>
      <c r="E45" s="10" t="s">
        <v>796</v>
      </c>
      <c r="F45" s="11" t="n">
        <v>13.1</v>
      </c>
      <c r="G45" s="11" t="n">
        <v>371</v>
      </c>
      <c r="H45" s="18" t="n">
        <f aca="false">IF(G45&lt;&gt;"",G45,IF(F45&lt;&gt;"",ROUND(F45*28.3495,0),""))</f>
        <v>371</v>
      </c>
      <c r="I45" s="11"/>
      <c r="J45" s="11"/>
      <c r="K45" s="11"/>
      <c r="L45" s="11" t="n">
        <v>0</v>
      </c>
      <c r="M45" s="18" t="n">
        <f aca="false">IF(H45="","",H45+L45)</f>
        <v>371</v>
      </c>
      <c r="N45" s="23" t="str">
        <f aca="false">IF(OR(K45="",M45=""),"",IF(J45&lt;&gt;"",K45/J45*H45/M45,IF(I45&lt;&gt;"",K45*I45/M45,"")))</f>
        <v/>
      </c>
      <c r="O45" s="18" t="str">
        <f aca="false">IF(N45="","",IF(N45&lt;FoodClasses!$C$2,"lean",IF(N45&lt;FoodClasses!$C$3,"medium","fatty")))</f>
        <v/>
      </c>
      <c r="P45" s="11" t="s">
        <v>797</v>
      </c>
      <c r="Q45" s="11" t="s">
        <v>486</v>
      </c>
      <c r="R45" s="24" t="s">
        <v>798</v>
      </c>
      <c r="S45" s="10" t="s">
        <v>1068</v>
      </c>
      <c r="T45" s="11" t="n">
        <v>1100</v>
      </c>
      <c r="U45" s="10" t="s">
        <v>800</v>
      </c>
      <c r="V45" s="10" t="s">
        <v>801</v>
      </c>
      <c r="W45" s="10" t="s">
        <v>802</v>
      </c>
      <c r="X45" s="10" t="s">
        <v>1069</v>
      </c>
      <c r="Y45" s="10" t="s">
        <v>1133</v>
      </c>
      <c r="Z45" s="10" t="s">
        <v>1096</v>
      </c>
      <c r="AA45" s="10" t="s">
        <v>1134</v>
      </c>
      <c r="AB45" s="10" t="s">
        <v>1135</v>
      </c>
    </row>
    <row r="46" customFormat="false" ht="202.95" hidden="false" customHeight="false" outlineLevel="0" collapsed="false">
      <c r="A46" s="10" t="s">
        <v>1136</v>
      </c>
      <c r="B46" s="10" t="s">
        <v>819</v>
      </c>
      <c r="C46" s="10" t="s">
        <v>1137</v>
      </c>
      <c r="D46" s="10" t="s">
        <v>1138</v>
      </c>
      <c r="E46" s="10" t="s">
        <v>796</v>
      </c>
      <c r="F46" s="11" t="n">
        <v>11</v>
      </c>
      <c r="G46" s="11" t="n">
        <v>312</v>
      </c>
      <c r="H46" s="18" t="n">
        <f aca="false">IF(G46&lt;&gt;"",G46,IF(F46&lt;&gt;"",ROUND(F46*28.3495,0),""))</f>
        <v>312</v>
      </c>
      <c r="I46" s="11" t="n">
        <v>1</v>
      </c>
      <c r="J46" s="11" t="n">
        <v>312</v>
      </c>
      <c r="K46" s="11" t="n">
        <v>14</v>
      </c>
      <c r="L46" s="11" t="n">
        <v>0</v>
      </c>
      <c r="M46" s="18" t="n">
        <f aca="false">IF(H46="","",H46+L46)</f>
        <v>312</v>
      </c>
      <c r="N46" s="23" t="n">
        <f aca="false">IF(OR(K46="",M46=""),"",IF(J46&lt;&gt;"",K46/J46*H46/M46,IF(I46&lt;&gt;"",K46*I46/M46,"")))</f>
        <v>0.0448717948717949</v>
      </c>
      <c r="O46" s="18" t="str">
        <f aca="false">IF(N46="","",IF(N46&lt;FoodClasses!$C$2,"lean",IF(N46&lt;FoodClasses!$C$3,"medium","fatty")))</f>
        <v>medium</v>
      </c>
      <c r="P46" s="11" t="s">
        <v>797</v>
      </c>
      <c r="Q46" s="11" t="s">
        <v>486</v>
      </c>
      <c r="R46" s="24" t="s">
        <v>798</v>
      </c>
      <c r="S46" s="10" t="s">
        <v>1068</v>
      </c>
      <c r="T46" s="11" t="n">
        <v>1100</v>
      </c>
      <c r="U46" s="10" t="s">
        <v>800</v>
      </c>
      <c r="V46" s="10" t="s">
        <v>801</v>
      </c>
      <c r="W46" s="10" t="s">
        <v>802</v>
      </c>
      <c r="X46" s="10" t="s">
        <v>1069</v>
      </c>
      <c r="Y46" s="10" t="s">
        <v>1139</v>
      </c>
      <c r="Z46" s="10" t="s">
        <v>1071</v>
      </c>
      <c r="AA46" s="10" t="s">
        <v>1072</v>
      </c>
      <c r="AB46" s="10" t="s">
        <v>1140</v>
      </c>
    </row>
    <row r="47" customFormat="false" ht="202.95" hidden="false" customHeight="false" outlineLevel="0" collapsed="false">
      <c r="A47" s="10" t="s">
        <v>1141</v>
      </c>
      <c r="B47" s="10" t="s">
        <v>819</v>
      </c>
      <c r="C47" s="10" t="s">
        <v>1142</v>
      </c>
      <c r="D47" s="10" t="s">
        <v>1143</v>
      </c>
      <c r="E47" s="10" t="s">
        <v>796</v>
      </c>
      <c r="F47" s="11" t="n">
        <v>12</v>
      </c>
      <c r="G47" s="11" t="n">
        <v>340</v>
      </c>
      <c r="H47" s="18" t="n">
        <f aca="false">IF(G47&lt;&gt;"",G47,IF(F47&lt;&gt;"",ROUND(F47*28.3495,0),""))</f>
        <v>340</v>
      </c>
      <c r="I47" s="11" t="n">
        <v>1</v>
      </c>
      <c r="J47" s="11" t="n">
        <v>340</v>
      </c>
      <c r="K47" s="11" t="n">
        <v>14</v>
      </c>
      <c r="L47" s="11" t="n">
        <v>0</v>
      </c>
      <c r="M47" s="18" t="n">
        <f aca="false">IF(H47="","",H47+L47)</f>
        <v>340</v>
      </c>
      <c r="N47" s="23" t="n">
        <f aca="false">IF(OR(K47="",M47=""),"",IF(J47&lt;&gt;"",K47/J47*H47/M47,IF(I47&lt;&gt;"",K47*I47/M47,"")))</f>
        <v>0.0411764705882353</v>
      </c>
      <c r="O47" s="18" t="str">
        <f aca="false">IF(N47="","",IF(N47&lt;FoodClasses!$C$2,"lean",IF(N47&lt;FoodClasses!$C$3,"medium","fatty")))</f>
        <v>medium</v>
      </c>
      <c r="P47" s="11" t="s">
        <v>797</v>
      </c>
      <c r="Q47" s="11" t="s">
        <v>486</v>
      </c>
      <c r="R47" s="24" t="s">
        <v>798</v>
      </c>
      <c r="S47" s="10" t="s">
        <v>1068</v>
      </c>
      <c r="T47" s="11" t="n">
        <v>1100</v>
      </c>
      <c r="U47" s="10" t="s">
        <v>800</v>
      </c>
      <c r="V47" s="10" t="s">
        <v>801</v>
      </c>
      <c r="W47" s="10" t="s">
        <v>802</v>
      </c>
      <c r="X47" s="10" t="s">
        <v>1069</v>
      </c>
      <c r="Y47" s="10" t="s">
        <v>1144</v>
      </c>
      <c r="Z47" s="10" t="s">
        <v>1071</v>
      </c>
      <c r="AA47" s="10" t="s">
        <v>1078</v>
      </c>
      <c r="AB47" s="10" t="s">
        <v>1145</v>
      </c>
    </row>
    <row r="48" customFormat="false" ht="79.85" hidden="false" customHeight="false" outlineLevel="0" collapsed="false">
      <c r="A48" s="10" t="s">
        <v>1146</v>
      </c>
      <c r="B48" s="10" t="s">
        <v>862</v>
      </c>
      <c r="C48" s="10" t="s">
        <v>1147</v>
      </c>
      <c r="D48" s="10" t="s">
        <v>1148</v>
      </c>
      <c r="E48" s="10" t="s">
        <v>796</v>
      </c>
      <c r="F48" s="11" t="n">
        <v>16</v>
      </c>
      <c r="G48" s="11" t="n">
        <v>454</v>
      </c>
      <c r="H48" s="18" t="n">
        <f aca="false">IF(G48&lt;&gt;"",G48,IF(F48&lt;&gt;"",ROUND(F48*28.3495,0),""))</f>
        <v>454</v>
      </c>
      <c r="I48" s="11" t="n">
        <v>1</v>
      </c>
      <c r="J48" s="11" t="n">
        <v>454</v>
      </c>
      <c r="K48" s="11" t="n">
        <v>27</v>
      </c>
      <c r="L48" s="11" t="n">
        <v>0</v>
      </c>
      <c r="M48" s="18" t="n">
        <f aca="false">IF(H48="","",H48+L48)</f>
        <v>454</v>
      </c>
      <c r="N48" s="23" t="n">
        <f aca="false">IF(OR(K48="",M48=""),"",IF(J48&lt;&gt;"",K48/J48*H48/M48,IF(I48&lt;&gt;"",K48*I48/M48,"")))</f>
        <v>0.0594713656387665</v>
      </c>
      <c r="O48" s="18" t="str">
        <f aca="false">IF(N48="","",IF(N48&lt;FoodClasses!$C$2,"lean",IF(N48&lt;FoodClasses!$C$3,"medium","fatty")))</f>
        <v>medium</v>
      </c>
      <c r="P48" s="11" t="s">
        <v>797</v>
      </c>
      <c r="Q48" s="11" t="s">
        <v>486</v>
      </c>
      <c r="R48" s="24" t="s">
        <v>798</v>
      </c>
      <c r="S48" s="10" t="s">
        <v>1068</v>
      </c>
      <c r="T48" s="11" t="n">
        <v>1100</v>
      </c>
      <c r="U48" s="10" t="s">
        <v>800</v>
      </c>
      <c r="V48" s="10" t="s">
        <v>801</v>
      </c>
      <c r="W48" s="10" t="s">
        <v>802</v>
      </c>
      <c r="X48" s="10" t="s">
        <v>1069</v>
      </c>
      <c r="Y48" s="10" t="s">
        <v>1149</v>
      </c>
      <c r="Z48" s="10" t="s">
        <v>1150</v>
      </c>
      <c r="AA48" s="10" t="s">
        <v>1151</v>
      </c>
      <c r="AB48" s="10" t="s">
        <v>1152</v>
      </c>
    </row>
    <row r="49" customFormat="false" ht="68.65" hidden="false" customHeight="false" outlineLevel="0" collapsed="false">
      <c r="A49" s="10" t="s">
        <v>1153</v>
      </c>
      <c r="B49" s="10" t="s">
        <v>862</v>
      </c>
      <c r="C49" s="10" t="s">
        <v>1154</v>
      </c>
      <c r="D49" s="10" t="s">
        <v>1155</v>
      </c>
      <c r="E49" s="10" t="s">
        <v>796</v>
      </c>
      <c r="F49" s="11" t="n">
        <v>15</v>
      </c>
      <c r="G49" s="11" t="n">
        <v>425</v>
      </c>
      <c r="H49" s="18" t="n">
        <f aca="false">IF(G49&lt;&gt;"",G49,IF(F49&lt;&gt;"",ROUND(F49*28.3495,0),""))</f>
        <v>425</v>
      </c>
      <c r="I49" s="11" t="n">
        <v>1</v>
      </c>
      <c r="J49" s="11" t="n">
        <v>425</v>
      </c>
      <c r="K49" s="11" t="n">
        <v>26</v>
      </c>
      <c r="L49" s="11" t="n">
        <v>0</v>
      </c>
      <c r="M49" s="18" t="n">
        <f aca="false">IF(H49="","",H49+L49)</f>
        <v>425</v>
      </c>
      <c r="N49" s="23" t="n">
        <f aca="false">IF(OR(K49="",M49=""),"",IF(J49&lt;&gt;"",K49/J49*H49/M49,IF(I49&lt;&gt;"",K49*I49/M49,"")))</f>
        <v>0.0611764705882353</v>
      </c>
      <c r="O49" s="18" t="str">
        <f aca="false">IF(N49="","",IF(N49&lt;FoodClasses!$C$2,"lean",IF(N49&lt;FoodClasses!$C$3,"medium","fatty")))</f>
        <v>medium</v>
      </c>
      <c r="P49" s="11" t="s">
        <v>797</v>
      </c>
      <c r="Q49" s="11" t="s">
        <v>486</v>
      </c>
      <c r="R49" s="24" t="s">
        <v>798</v>
      </c>
      <c r="S49" s="10" t="s">
        <v>1068</v>
      </c>
      <c r="T49" s="11" t="n">
        <v>1100</v>
      </c>
      <c r="U49" s="10" t="s">
        <v>800</v>
      </c>
      <c r="V49" s="10" t="s">
        <v>801</v>
      </c>
      <c r="W49" s="10" t="s">
        <v>802</v>
      </c>
      <c r="X49" s="10" t="s">
        <v>1069</v>
      </c>
      <c r="Y49" s="10" t="s">
        <v>1156</v>
      </c>
      <c r="Z49" s="10" t="s">
        <v>1157</v>
      </c>
      <c r="AA49" s="10" t="s">
        <v>1072</v>
      </c>
      <c r="AB49" s="10" t="s">
        <v>1158</v>
      </c>
    </row>
    <row r="50" customFormat="false" ht="79.85" hidden="false" customHeight="false" outlineLevel="0" collapsed="false">
      <c r="A50" s="10" t="s">
        <v>1159</v>
      </c>
      <c r="B50" s="10" t="s">
        <v>1160</v>
      </c>
      <c r="C50" s="10" t="s">
        <v>1161</v>
      </c>
      <c r="D50" s="10" t="s">
        <v>1162</v>
      </c>
      <c r="E50" s="10" t="s">
        <v>528</v>
      </c>
      <c r="F50" s="11" t="n">
        <v>8</v>
      </c>
      <c r="G50" s="11"/>
      <c r="H50" s="18" t="n">
        <f aca="false">IF(G50&lt;&gt;"",G50,IF(F50&lt;&gt;"",ROUND(F50*28.3495,0),""))</f>
        <v>227</v>
      </c>
      <c r="I50" s="11" t="n">
        <v>1</v>
      </c>
      <c r="J50" s="11" t="n">
        <v>227</v>
      </c>
      <c r="K50" s="11" t="n">
        <v>2.5</v>
      </c>
      <c r="L50" s="11" t="n">
        <v>0</v>
      </c>
      <c r="M50" s="18" t="n">
        <f aca="false">IF(H50="","",H50+L50)</f>
        <v>227</v>
      </c>
      <c r="N50" s="23" t="n">
        <f aca="false">IF(OR(K50="",M50=""),"",IF(J50&lt;&gt;"",K50/J50*H50/M50,IF(I50&lt;&gt;"",K50*I50/M50,"")))</f>
        <v>0.0110132158590308</v>
      </c>
      <c r="O50" s="18" t="str">
        <f aca="false">IF(N50="","",IF(N50&lt;FoodClasses!$C$2,"lean",IF(N50&lt;FoodClasses!$C$3,"medium","fatty")))</f>
        <v>lean</v>
      </c>
      <c r="P50" s="11" t="s">
        <v>797</v>
      </c>
      <c r="Q50" s="11" t="s">
        <v>521</v>
      </c>
      <c r="R50" s="24" t="s">
        <v>798</v>
      </c>
      <c r="S50" s="10" t="s">
        <v>1163</v>
      </c>
      <c r="T50" s="11" t="n">
        <v>1100</v>
      </c>
      <c r="U50" s="10" t="s">
        <v>800</v>
      </c>
      <c r="V50" s="10" t="s">
        <v>801</v>
      </c>
      <c r="W50" s="10" t="s">
        <v>802</v>
      </c>
      <c r="X50" s="10" t="s">
        <v>1164</v>
      </c>
      <c r="Y50" s="10"/>
      <c r="Z50" s="10" t="s">
        <v>1165</v>
      </c>
      <c r="AA50" s="10" t="s">
        <v>1166</v>
      </c>
      <c r="AB50" s="10" t="s">
        <v>1167</v>
      </c>
    </row>
    <row r="51" customFormat="false" ht="46.25" hidden="false" customHeight="false" outlineLevel="0" collapsed="false">
      <c r="A51" s="10" t="s">
        <v>1168</v>
      </c>
      <c r="B51" s="10" t="s">
        <v>1160</v>
      </c>
      <c r="C51" s="10" t="s">
        <v>1169</v>
      </c>
      <c r="D51" s="10" t="s">
        <v>1170</v>
      </c>
      <c r="E51" s="10" t="s">
        <v>521</v>
      </c>
      <c r="F51" s="11" t="n">
        <v>16</v>
      </c>
      <c r="G51" s="11" t="n">
        <v>454</v>
      </c>
      <c r="H51" s="18" t="n">
        <f aca="false">IF(G51&lt;&gt;"",G51,IF(F51&lt;&gt;"",ROUND(F51*28.3495,0),""))</f>
        <v>454</v>
      </c>
      <c r="I51" s="11" t="n">
        <v>2.5</v>
      </c>
      <c r="J51" s="11" t="n">
        <v>196</v>
      </c>
      <c r="K51" s="11" t="n">
        <v>3</v>
      </c>
      <c r="L51" s="11" t="n">
        <v>0</v>
      </c>
      <c r="M51" s="18" t="n">
        <f aca="false">IF(H51="","",H51+L51)</f>
        <v>454</v>
      </c>
      <c r="N51" s="23" t="n">
        <f aca="false">IF(OR(K51="",M51=""),"",IF(J51&lt;&gt;"",K51/J51*H51/M51,IF(I51&lt;&gt;"",K51*I51/M51,"")))</f>
        <v>0.0153061224489796</v>
      </c>
      <c r="O51" s="18" t="str">
        <f aca="false">IF(N51="","",IF(N51&lt;FoodClasses!$C$2,"lean",IF(N51&lt;FoodClasses!$C$3,"medium","fatty")))</f>
        <v>lean</v>
      </c>
      <c r="P51" s="11" t="s">
        <v>797</v>
      </c>
      <c r="Q51" s="11" t="s">
        <v>521</v>
      </c>
      <c r="R51" s="11" t="s">
        <v>177</v>
      </c>
      <c r="S51" s="10" t="s">
        <v>1171</v>
      </c>
      <c r="T51" s="11" t="n">
        <v>1100</v>
      </c>
      <c r="U51" s="10" t="s">
        <v>800</v>
      </c>
      <c r="V51" s="10" t="s">
        <v>801</v>
      </c>
      <c r="W51" s="10" t="s">
        <v>802</v>
      </c>
      <c r="X51" s="10" t="s">
        <v>1172</v>
      </c>
      <c r="Y51" s="10"/>
      <c r="Z51" s="10" t="s">
        <v>1173</v>
      </c>
      <c r="AA51" s="10" t="s">
        <v>1174</v>
      </c>
      <c r="AB51" s="10" t="s">
        <v>1175</v>
      </c>
    </row>
    <row r="52" customFormat="false" ht="113.4" hidden="false" customHeight="false" outlineLevel="0" collapsed="false">
      <c r="A52" s="10" t="s">
        <v>1176</v>
      </c>
      <c r="B52" s="10" t="s">
        <v>1160</v>
      </c>
      <c r="C52" s="10" t="s">
        <v>1177</v>
      </c>
      <c r="D52" s="10" t="s">
        <v>1178</v>
      </c>
      <c r="E52" s="10" t="s">
        <v>1041</v>
      </c>
      <c r="F52" s="11" t="n">
        <v>22</v>
      </c>
      <c r="G52" s="11" t="n">
        <v>624</v>
      </c>
      <c r="H52" s="18" t="n">
        <f aca="false">IF(G52&lt;&gt;"",G52,IF(F52&lt;&gt;"",ROUND(F52*28.3495,0),""))</f>
        <v>624</v>
      </c>
      <c r="I52" s="11" t="n">
        <v>3</v>
      </c>
      <c r="J52" s="11" t="n">
        <v>211</v>
      </c>
      <c r="K52" s="11" t="n">
        <v>6</v>
      </c>
      <c r="L52" s="11" t="n">
        <v>0</v>
      </c>
      <c r="M52" s="18" t="n">
        <f aca="false">IF(H52="","",H52+L52)</f>
        <v>624</v>
      </c>
      <c r="N52" s="23" t="n">
        <f aca="false">IF(OR(K52="",M52=""),"",IF(J52&lt;&gt;"",K52/J52*H52/M52,IF(I52&lt;&gt;"",K52*I52/M52,"")))</f>
        <v>0.028436018957346</v>
      </c>
      <c r="O52" s="18" t="str">
        <f aca="false">IF(N52="","",IF(N52&lt;FoodClasses!$C$2,"lean",IF(N52&lt;FoodClasses!$C$3,"medium","fatty")))</f>
        <v>lean</v>
      </c>
      <c r="P52" s="11" t="s">
        <v>797</v>
      </c>
      <c r="Q52" s="11" t="s">
        <v>584</v>
      </c>
      <c r="R52" s="11" t="s">
        <v>177</v>
      </c>
      <c r="S52" s="10" t="s">
        <v>1179</v>
      </c>
      <c r="T52" s="11"/>
      <c r="U52" s="10" t="s">
        <v>930</v>
      </c>
      <c r="V52" s="10" t="s">
        <v>811</v>
      </c>
      <c r="W52" s="10"/>
      <c r="X52" s="10" t="s">
        <v>1180</v>
      </c>
      <c r="Y52" s="10"/>
      <c r="Z52" s="10" t="s">
        <v>1181</v>
      </c>
      <c r="AA52" s="10" t="s">
        <v>1182</v>
      </c>
      <c r="AB52" s="10" t="s">
        <v>1183</v>
      </c>
    </row>
    <row r="53" customFormat="false" ht="46.25" hidden="false" customHeight="false" outlineLevel="0" collapsed="false">
      <c r="A53" s="10" t="s">
        <v>1184</v>
      </c>
      <c r="B53" s="10" t="s">
        <v>981</v>
      </c>
      <c r="C53" s="10" t="s">
        <v>1185</v>
      </c>
      <c r="D53" s="10" t="s">
        <v>1186</v>
      </c>
      <c r="E53" s="10" t="s">
        <v>521</v>
      </c>
      <c r="F53" s="11" t="n">
        <v>10.8</v>
      </c>
      <c r="G53" s="11" t="n">
        <v>306</v>
      </c>
      <c r="H53" s="18" t="n">
        <f aca="false">IF(G53&lt;&gt;"",G53,IF(F53&lt;&gt;"",ROUND(F53*28.3495,0),""))</f>
        <v>306</v>
      </c>
      <c r="I53" s="11" t="n">
        <v>1</v>
      </c>
      <c r="J53" s="11" t="n">
        <v>306</v>
      </c>
      <c r="K53" s="11" t="n">
        <v>6</v>
      </c>
      <c r="L53" s="11" t="n">
        <v>0</v>
      </c>
      <c r="M53" s="18" t="n">
        <f aca="false">IF(H53="","",H53+L53)</f>
        <v>306</v>
      </c>
      <c r="N53" s="23" t="n">
        <f aca="false">IF(OR(K53="",M53=""),"",IF(J53&lt;&gt;"",K53/J53*H53/M53,IF(I53&lt;&gt;"",K53*I53/M53,"")))</f>
        <v>0.0196078431372549</v>
      </c>
      <c r="O53" s="18" t="str">
        <f aca="false">IF(N53="","",IF(N53&lt;FoodClasses!$C$2,"lean",IF(N53&lt;FoodClasses!$C$3,"medium","fatty")))</f>
        <v>lean</v>
      </c>
      <c r="P53" s="11" t="s">
        <v>797</v>
      </c>
      <c r="Q53" s="11" t="s">
        <v>521</v>
      </c>
      <c r="R53" s="11" t="s">
        <v>177</v>
      </c>
      <c r="S53" s="10" t="s">
        <v>1171</v>
      </c>
      <c r="T53" s="11" t="n">
        <v>1100</v>
      </c>
      <c r="U53" s="10" t="s">
        <v>800</v>
      </c>
      <c r="V53" s="10" t="s">
        <v>801</v>
      </c>
      <c r="W53" s="10" t="s">
        <v>802</v>
      </c>
      <c r="X53" s="10" t="s">
        <v>1187</v>
      </c>
      <c r="Y53" s="10"/>
      <c r="Z53" s="10" t="s">
        <v>1188</v>
      </c>
      <c r="AA53" s="10" t="s">
        <v>1189</v>
      </c>
      <c r="AB53" s="10" t="s">
        <v>1190</v>
      </c>
    </row>
    <row r="54" customFormat="false" ht="68.65" hidden="false" customHeight="false" outlineLevel="0" collapsed="false">
      <c r="A54" s="10" t="s">
        <v>1191</v>
      </c>
      <c r="B54" s="10" t="s">
        <v>981</v>
      </c>
      <c r="C54" s="10" t="s">
        <v>1192</v>
      </c>
      <c r="D54" s="10" t="s">
        <v>1193</v>
      </c>
      <c r="E54" s="10" t="s">
        <v>521</v>
      </c>
      <c r="F54" s="11" t="n">
        <v>12.7</v>
      </c>
      <c r="G54" s="11"/>
      <c r="H54" s="18" t="n">
        <f aca="false">IF(G54&lt;&gt;"",G54,IF(F54&lt;&gt;"",ROUND(F54*28.3495,0),""))</f>
        <v>360</v>
      </c>
      <c r="I54" s="11" t="n">
        <v>1</v>
      </c>
      <c r="J54" s="11" t="n">
        <v>360</v>
      </c>
      <c r="K54" s="11" t="n">
        <v>2.5</v>
      </c>
      <c r="L54" s="11" t="n">
        <v>0</v>
      </c>
      <c r="M54" s="18" t="n">
        <f aca="false">IF(H54="","",H54+L54)</f>
        <v>360</v>
      </c>
      <c r="N54" s="23" t="n">
        <f aca="false">IF(OR(K54="",M54=""),"",IF(J54&lt;&gt;"",K54/J54*H54/M54,IF(I54&lt;&gt;"",K54*I54/M54,"")))</f>
        <v>0.00694444444444444</v>
      </c>
      <c r="O54" s="18" t="str">
        <f aca="false">IF(N54="","",IF(N54&lt;FoodClasses!$C$2,"lean",IF(N54&lt;FoodClasses!$C$3,"medium","fatty")))</f>
        <v>lean</v>
      </c>
      <c r="P54" s="11" t="s">
        <v>797</v>
      </c>
      <c r="Q54" s="11" t="s">
        <v>521</v>
      </c>
      <c r="R54" s="11" t="s">
        <v>177</v>
      </c>
      <c r="S54" s="10" t="s">
        <v>1171</v>
      </c>
      <c r="T54" s="11" t="n">
        <v>1100</v>
      </c>
      <c r="U54" s="10" t="s">
        <v>800</v>
      </c>
      <c r="V54" s="10" t="s">
        <v>801</v>
      </c>
      <c r="W54" s="10" t="s">
        <v>802</v>
      </c>
      <c r="X54" s="10" t="s">
        <v>1187</v>
      </c>
      <c r="Y54" s="10"/>
      <c r="Z54" s="10" t="s">
        <v>1194</v>
      </c>
      <c r="AA54" s="10" t="s">
        <v>1195</v>
      </c>
      <c r="AB54" s="10" t="s">
        <v>1196</v>
      </c>
    </row>
    <row r="55" customFormat="false" ht="147" hidden="false" customHeight="false" outlineLevel="0" collapsed="false">
      <c r="A55" s="10" t="s">
        <v>1197</v>
      </c>
      <c r="B55" s="10" t="s">
        <v>981</v>
      </c>
      <c r="C55" s="10" t="s">
        <v>1198</v>
      </c>
      <c r="D55" s="10" t="s">
        <v>1199</v>
      </c>
      <c r="E55" s="10" t="s">
        <v>521</v>
      </c>
      <c r="F55" s="11" t="n">
        <v>12</v>
      </c>
      <c r="G55" s="11"/>
      <c r="H55" s="18" t="n">
        <f aca="false">IF(G55&lt;&gt;"",G55,IF(F55&lt;&gt;"",ROUND(F55*28.3495,0),""))</f>
        <v>340</v>
      </c>
      <c r="I55" s="11" t="n">
        <v>4</v>
      </c>
      <c r="J55" s="11" t="n">
        <v>84</v>
      </c>
      <c r="K55" s="11" t="n">
        <v>0</v>
      </c>
      <c r="L55" s="11" t="n">
        <v>0</v>
      </c>
      <c r="M55" s="18" t="n">
        <f aca="false">IF(H55="","",H55+L55)</f>
        <v>340</v>
      </c>
      <c r="N55" s="23" t="n">
        <f aca="false">IF(OR(K55="",M55=""),"",IF(J55&lt;&gt;"",K55/J55*H55/M55,IF(I55&lt;&gt;"",K55*I55/M55,"")))</f>
        <v>0</v>
      </c>
      <c r="O55" s="18" t="str">
        <f aca="false">IF(N55="","",IF(N55&lt;FoodClasses!$C$2,"lean",IF(N55&lt;FoodClasses!$C$3,"medium","fatty")))</f>
        <v>lean</v>
      </c>
      <c r="P55" s="11" t="s">
        <v>797</v>
      </c>
      <c r="Q55" s="11" t="s">
        <v>521</v>
      </c>
      <c r="R55" s="11" t="s">
        <v>177</v>
      </c>
      <c r="S55" s="10" t="s">
        <v>1171</v>
      </c>
      <c r="T55" s="11"/>
      <c r="U55" s="10" t="s">
        <v>800</v>
      </c>
      <c r="V55" s="10" t="s">
        <v>801</v>
      </c>
      <c r="W55" s="10" t="s">
        <v>1200</v>
      </c>
      <c r="X55" s="10" t="s">
        <v>1201</v>
      </c>
      <c r="Y55" s="10"/>
      <c r="Z55" s="10" t="s">
        <v>1194</v>
      </c>
      <c r="AA55" s="10" t="s">
        <v>1202</v>
      </c>
      <c r="AB55" s="10" t="s">
        <v>1203</v>
      </c>
    </row>
    <row r="56" customFormat="false" ht="68.65" hidden="false" customHeight="false" outlineLevel="0" collapsed="false">
      <c r="A56" s="10" t="s">
        <v>1204</v>
      </c>
      <c r="B56" s="10" t="s">
        <v>1205</v>
      </c>
      <c r="C56" s="10" t="s">
        <v>1206</v>
      </c>
      <c r="D56" s="10" t="s">
        <v>1207</v>
      </c>
      <c r="E56" s="10" t="s">
        <v>590</v>
      </c>
      <c r="F56" s="11" t="n">
        <v>14.39</v>
      </c>
      <c r="G56" s="11" t="n">
        <v>408</v>
      </c>
      <c r="H56" s="18" t="n">
        <f aca="false">IF(G56&lt;&gt;"",G56,IF(F56&lt;&gt;"",ROUND(F56*28.3495,0),""))</f>
        <v>408</v>
      </c>
      <c r="I56" s="11" t="n">
        <v>12</v>
      </c>
      <c r="J56" s="11" t="n">
        <v>34</v>
      </c>
      <c r="K56" s="11" t="n">
        <v>5</v>
      </c>
      <c r="L56" s="11" t="n">
        <v>0</v>
      </c>
      <c r="M56" s="18" t="n">
        <f aca="false">IF(H56="","",H56+L56)</f>
        <v>408</v>
      </c>
      <c r="N56" s="23" t="n">
        <f aca="false">IF(OR(K56="",M56=""),"",IF(J56&lt;&gt;"",K56/J56*H56/M56,IF(I56&lt;&gt;"",K56*I56/M56,"")))</f>
        <v>0.147058823529412</v>
      </c>
      <c r="O56" s="18" t="str">
        <f aca="false">IF(N56="","",IF(N56&lt;FoodClasses!$C$2,"lean",IF(N56&lt;FoodClasses!$C$3,"medium","fatty")))</f>
        <v>fatty</v>
      </c>
      <c r="P56" s="11" t="s">
        <v>920</v>
      </c>
      <c r="Q56" s="11" t="s">
        <v>590</v>
      </c>
      <c r="R56" s="11" t="s">
        <v>177</v>
      </c>
      <c r="S56" s="10" t="s">
        <v>1208</v>
      </c>
      <c r="T56" s="11"/>
      <c r="U56" s="10" t="s">
        <v>848</v>
      </c>
      <c r="V56" s="10" t="s">
        <v>801</v>
      </c>
      <c r="W56" s="10" t="s">
        <v>1209</v>
      </c>
      <c r="X56" s="10" t="s">
        <v>1210</v>
      </c>
      <c r="Y56" s="10"/>
      <c r="Z56" s="10" t="s">
        <v>1211</v>
      </c>
      <c r="AA56" s="10" t="s">
        <v>1212</v>
      </c>
      <c r="AB56" s="10" t="s">
        <v>1213</v>
      </c>
    </row>
    <row r="57" customFormat="false" ht="91" hidden="false" customHeight="false" outlineLevel="0" collapsed="false">
      <c r="A57" s="10" t="s">
        <v>1214</v>
      </c>
      <c r="B57" s="10" t="s">
        <v>1205</v>
      </c>
      <c r="C57" s="10" t="s">
        <v>1215</v>
      </c>
      <c r="D57" s="10" t="s">
        <v>1216</v>
      </c>
      <c r="E57" s="10" t="s">
        <v>590</v>
      </c>
      <c r="F57" s="11" t="n">
        <v>9.9</v>
      </c>
      <c r="G57" s="11" t="n">
        <v>280.8</v>
      </c>
      <c r="H57" s="18" t="n">
        <f aca="false">IF(G57&lt;&gt;"",G57,IF(F57&lt;&gt;"",ROUND(F57*28.3495,0),""))</f>
        <v>280.8</v>
      </c>
      <c r="I57" s="11" t="n">
        <v>8</v>
      </c>
      <c r="J57" s="11" t="n">
        <v>33</v>
      </c>
      <c r="K57" s="11" t="n">
        <v>14</v>
      </c>
      <c r="L57" s="11" t="n">
        <v>0</v>
      </c>
      <c r="M57" s="18" t="n">
        <f aca="false">IF(H57="","",H57+L57)</f>
        <v>280.8</v>
      </c>
      <c r="N57" s="23" t="n">
        <f aca="false">IF(OR(K57="",M57=""),"",IF(J57&lt;&gt;"",K57/J57*H57/M57,IF(I57&lt;&gt;"",K57*I57/M57,"")))</f>
        <v>0.424242424242424</v>
      </c>
      <c r="O57" s="18" t="str">
        <f aca="false">IF(N57="","",IF(N57&lt;FoodClasses!$C$2,"lean",IF(N57&lt;FoodClasses!$C$3,"medium","fatty")))</f>
        <v>fatty</v>
      </c>
      <c r="P57" s="11" t="s">
        <v>920</v>
      </c>
      <c r="Q57" s="11" t="s">
        <v>590</v>
      </c>
      <c r="R57" s="11" t="s">
        <v>177</v>
      </c>
      <c r="S57" s="10" t="s">
        <v>1208</v>
      </c>
      <c r="T57" s="11"/>
      <c r="U57" s="10" t="s">
        <v>848</v>
      </c>
      <c r="V57" s="10" t="s">
        <v>801</v>
      </c>
      <c r="W57" s="10" t="s">
        <v>1209</v>
      </c>
      <c r="X57" s="10" t="s">
        <v>1210</v>
      </c>
      <c r="Y57" s="10"/>
      <c r="Z57" s="10" t="s">
        <v>1217</v>
      </c>
      <c r="AA57" s="10" t="s">
        <v>1218</v>
      </c>
      <c r="AB57" s="10" t="s">
        <v>1219</v>
      </c>
    </row>
    <row r="58" customFormat="false" ht="68.65" hidden="false" customHeight="false" outlineLevel="0" collapsed="false">
      <c r="A58" s="10" t="s">
        <v>1220</v>
      </c>
      <c r="B58" s="10" t="s">
        <v>1205</v>
      </c>
      <c r="C58" s="10" t="s">
        <v>1221</v>
      </c>
      <c r="D58" s="10" t="s">
        <v>1222</v>
      </c>
      <c r="E58" s="10" t="s">
        <v>590</v>
      </c>
      <c r="F58" s="11" t="n">
        <v>15</v>
      </c>
      <c r="G58" s="11" t="n">
        <v>425</v>
      </c>
      <c r="H58" s="18" t="n">
        <f aca="false">IF(G58&lt;&gt;"",G58,IF(F58&lt;&gt;"",ROUND(F58*28.3495,0),""))</f>
        <v>425</v>
      </c>
      <c r="I58" s="11" t="n">
        <v>10</v>
      </c>
      <c r="J58" s="11" t="n">
        <v>42.5</v>
      </c>
      <c r="K58" s="11" t="n">
        <v>6</v>
      </c>
      <c r="L58" s="11" t="n">
        <v>0</v>
      </c>
      <c r="M58" s="18" t="n">
        <f aca="false">IF(H58="","",H58+L58)</f>
        <v>425</v>
      </c>
      <c r="N58" s="23" t="n">
        <f aca="false">IF(OR(K58="",M58=""),"",IF(J58&lt;&gt;"",K58/J58*H58/M58,IF(I58&lt;&gt;"",K58*I58/M58,"")))</f>
        <v>0.141176470588235</v>
      </c>
      <c r="O58" s="18" t="str">
        <f aca="false">IF(N58="","",IF(N58&lt;FoodClasses!$C$2,"lean",IF(N58&lt;FoodClasses!$C$3,"medium","fatty")))</f>
        <v>fatty</v>
      </c>
      <c r="P58" s="11" t="s">
        <v>920</v>
      </c>
      <c r="Q58" s="11" t="s">
        <v>590</v>
      </c>
      <c r="R58" s="11" t="s">
        <v>177</v>
      </c>
      <c r="S58" s="10" t="s">
        <v>1208</v>
      </c>
      <c r="T58" s="11"/>
      <c r="U58" s="10" t="s">
        <v>848</v>
      </c>
      <c r="V58" s="10" t="s">
        <v>801</v>
      </c>
      <c r="W58" s="10" t="s">
        <v>1209</v>
      </c>
      <c r="X58" s="10" t="s">
        <v>1210</v>
      </c>
      <c r="Y58" s="10"/>
      <c r="Z58" s="10" t="s">
        <v>1223</v>
      </c>
      <c r="AA58" s="10" t="s">
        <v>1224</v>
      </c>
      <c r="AB58" s="10" t="s">
        <v>1225</v>
      </c>
    </row>
    <row r="59" customFormat="false" ht="124.6" hidden="false" customHeight="false" outlineLevel="0" collapsed="false">
      <c r="A59" s="10" t="s">
        <v>1226</v>
      </c>
      <c r="B59" s="10" t="s">
        <v>1227</v>
      </c>
      <c r="C59" s="10" t="s">
        <v>1228</v>
      </c>
      <c r="D59" s="10"/>
      <c r="E59" s="10" t="s">
        <v>590</v>
      </c>
      <c r="F59" s="11" t="n">
        <v>2.75</v>
      </c>
      <c r="G59" s="11"/>
      <c r="H59" s="18" t="n">
        <f aca="false">IF(G59&lt;&gt;"",G59,IF(F59&lt;&gt;"",ROUND(F59*28.3495,0),""))</f>
        <v>78</v>
      </c>
      <c r="I59" s="11"/>
      <c r="J59" s="11"/>
      <c r="K59" s="11" t="n">
        <v>3</v>
      </c>
      <c r="L59" s="11" t="n">
        <v>0</v>
      </c>
      <c r="M59" s="18" t="n">
        <f aca="false">IF(H59="","",H59+L59)</f>
        <v>78</v>
      </c>
      <c r="N59" s="23" t="str">
        <f aca="false">IF(OR(K59="",M59=""),"",IF(J59&lt;&gt;"",K59/J59*H59/M59,IF(I59&lt;&gt;"",K59*I59/M59,"")))</f>
        <v/>
      </c>
      <c r="O59" s="18" t="str">
        <f aca="false">IF(N59="","",IF(N59&lt;FoodClasses!$C$2,"lean",IF(N59&lt;FoodClasses!$C$3,"medium","fatty")))</f>
        <v/>
      </c>
      <c r="P59" s="11" t="s">
        <v>920</v>
      </c>
      <c r="Q59" s="11" t="s">
        <v>590</v>
      </c>
      <c r="R59" s="11" t="s">
        <v>177</v>
      </c>
      <c r="S59" s="10" t="s">
        <v>1208</v>
      </c>
      <c r="T59" s="11"/>
      <c r="U59" s="10" t="s">
        <v>848</v>
      </c>
      <c r="V59" s="10" t="s">
        <v>801</v>
      </c>
      <c r="W59" s="10" t="s">
        <v>1209</v>
      </c>
      <c r="X59" s="10" t="s">
        <v>1210</v>
      </c>
      <c r="Y59" s="10"/>
      <c r="Z59" s="10" t="s">
        <v>1229</v>
      </c>
      <c r="AA59" s="10" t="s">
        <v>1230</v>
      </c>
      <c r="AB59" s="10" t="s">
        <v>1231</v>
      </c>
    </row>
    <row r="60" customFormat="false" ht="35.05" hidden="false" customHeight="false" outlineLevel="0" collapsed="false">
      <c r="A60" s="10" t="s">
        <v>1232</v>
      </c>
      <c r="B60" s="10" t="s">
        <v>1005</v>
      </c>
      <c r="C60" s="10" t="s">
        <v>1233</v>
      </c>
      <c r="D60" s="10" t="s">
        <v>1234</v>
      </c>
      <c r="E60" s="10" t="s">
        <v>521</v>
      </c>
      <c r="F60" s="11" t="n">
        <v>9</v>
      </c>
      <c r="G60" s="11" t="n">
        <v>255</v>
      </c>
      <c r="H60" s="18" t="n">
        <f aca="false">IF(G60&lt;&gt;"",G60,IF(F60&lt;&gt;"",ROUND(F60*28.3495,0),""))</f>
        <v>255</v>
      </c>
      <c r="I60" s="11" t="n">
        <v>2.5</v>
      </c>
      <c r="J60" s="11" t="n">
        <v>110</v>
      </c>
      <c r="K60" s="11" t="n">
        <v>3</v>
      </c>
      <c r="L60" s="11" t="n">
        <v>0</v>
      </c>
      <c r="M60" s="18" t="n">
        <f aca="false">IF(H60="","",H60+L60)</f>
        <v>255</v>
      </c>
      <c r="N60" s="23" t="n">
        <f aca="false">IF(OR(K60="",M60=""),"",IF(J60&lt;&gt;"",K60/J60*H60/M60,IF(I60&lt;&gt;"",K60*I60/M60,"")))</f>
        <v>0.0272727272727273</v>
      </c>
      <c r="O60" s="18" t="str">
        <f aca="false">IF(N60="","",IF(N60&lt;FoodClasses!$C$2,"lean",IF(N60&lt;FoodClasses!$C$3,"medium","fatty")))</f>
        <v>lean</v>
      </c>
      <c r="P60" s="11" t="s">
        <v>797</v>
      </c>
      <c r="Q60" s="11" t="s">
        <v>521</v>
      </c>
      <c r="R60" s="11" t="s">
        <v>177</v>
      </c>
      <c r="S60" s="10" t="s">
        <v>1171</v>
      </c>
      <c r="T60" s="11"/>
      <c r="U60" s="10" t="s">
        <v>800</v>
      </c>
      <c r="V60" s="10" t="s">
        <v>801</v>
      </c>
      <c r="W60" s="10" t="s">
        <v>1021</v>
      </c>
      <c r="X60" s="10" t="s">
        <v>1022</v>
      </c>
      <c r="Y60" s="10"/>
      <c r="Z60" s="10" t="s">
        <v>1235</v>
      </c>
      <c r="AA60" s="10" t="s">
        <v>1236</v>
      </c>
      <c r="AB60" s="10" t="s">
        <v>1237</v>
      </c>
    </row>
    <row r="61" customFormat="false" ht="57.45" hidden="false" customHeight="false" outlineLevel="0" collapsed="false">
      <c r="A61" s="10" t="s">
        <v>1238</v>
      </c>
      <c r="B61" s="10" t="s">
        <v>1005</v>
      </c>
      <c r="C61" s="10" t="s">
        <v>1239</v>
      </c>
      <c r="D61" s="10" t="s">
        <v>1240</v>
      </c>
      <c r="E61" s="10" t="s">
        <v>1041</v>
      </c>
      <c r="F61" s="11" t="n">
        <v>12</v>
      </c>
      <c r="G61" s="11" t="n">
        <v>340</v>
      </c>
      <c r="H61" s="18" t="n">
        <f aca="false">IF(G61&lt;&gt;"",G61,IF(F61&lt;&gt;"",ROUND(F61*28.3495,0),""))</f>
        <v>340</v>
      </c>
      <c r="I61" s="11" t="n">
        <v>4</v>
      </c>
      <c r="J61" s="11" t="n">
        <v>79</v>
      </c>
      <c r="K61" s="11" t="n">
        <v>2</v>
      </c>
      <c r="L61" s="11" t="n">
        <v>0</v>
      </c>
      <c r="M61" s="18" t="n">
        <f aca="false">IF(H61="","",H61+L61)</f>
        <v>340</v>
      </c>
      <c r="N61" s="23" t="n">
        <f aca="false">IF(OR(K61="",M61=""),"",IF(J61&lt;&gt;"",K61/J61*H61/M61,IF(I61&lt;&gt;"",K61*I61/M61,"")))</f>
        <v>0.0253164556962025</v>
      </c>
      <c r="O61" s="18" t="str">
        <f aca="false">IF(N61="","",IF(N61&lt;FoodClasses!$C$2,"lean",IF(N61&lt;FoodClasses!$C$3,"medium","fatty")))</f>
        <v>lean</v>
      </c>
      <c r="P61" s="11" t="s">
        <v>797</v>
      </c>
      <c r="Q61" s="11" t="s">
        <v>505</v>
      </c>
      <c r="R61" s="11" t="s">
        <v>177</v>
      </c>
      <c r="S61" s="10" t="s">
        <v>1241</v>
      </c>
      <c r="T61" s="11"/>
      <c r="U61" s="10" t="s">
        <v>930</v>
      </c>
      <c r="V61" s="10" t="s">
        <v>931</v>
      </c>
      <c r="W61" s="10"/>
      <c r="X61" s="10" t="s">
        <v>1242</v>
      </c>
      <c r="Y61" s="10" t="s">
        <v>1243</v>
      </c>
      <c r="Z61" s="10" t="s">
        <v>1244</v>
      </c>
      <c r="AA61" s="10" t="s">
        <v>1245</v>
      </c>
      <c r="AB61" s="10" t="s">
        <v>1246</v>
      </c>
    </row>
    <row r="62" customFormat="false" ht="158.2" hidden="false" customHeight="false" outlineLevel="0" collapsed="false">
      <c r="A62" s="10" t="s">
        <v>1247</v>
      </c>
      <c r="B62" s="10" t="s">
        <v>1248</v>
      </c>
      <c r="C62" s="10" t="s">
        <v>1249</v>
      </c>
      <c r="D62" s="10"/>
      <c r="E62" s="10" t="s">
        <v>600</v>
      </c>
      <c r="F62" s="11" t="n">
        <v>4.5</v>
      </c>
      <c r="G62" s="11"/>
      <c r="H62" s="18" t="n">
        <f aca="false">IF(G62&lt;&gt;"",G62,IF(F62&lt;&gt;"",ROUND(F62*28.3495,0),""))</f>
        <v>128</v>
      </c>
      <c r="I62" s="11" t="n">
        <v>1</v>
      </c>
      <c r="J62" s="11"/>
      <c r="K62" s="11" t="n">
        <v>15</v>
      </c>
      <c r="L62" s="11" t="n">
        <v>0</v>
      </c>
      <c r="M62" s="18" t="n">
        <f aca="false">IF(H62="","",H62+L62)</f>
        <v>128</v>
      </c>
      <c r="N62" s="23" t="n">
        <f aca="false">IF(OR(K62="",M62=""),"",IF(J62&lt;&gt;"",K62/J62*H62/M62,IF(I62&lt;&gt;"",K62*I62/M62,"")))</f>
        <v>0.1171875</v>
      </c>
      <c r="O62" s="18" t="str">
        <f aca="false">IF(N62="","",IF(N62&lt;FoodClasses!$C$2,"lean",IF(N62&lt;FoodClasses!$C$3,"medium","fatty")))</f>
        <v>fatty</v>
      </c>
      <c r="P62" s="11" t="s">
        <v>797</v>
      </c>
      <c r="Q62" s="11" t="s">
        <v>597</v>
      </c>
      <c r="R62" s="11" t="s">
        <v>177</v>
      </c>
      <c r="S62" s="10" t="s">
        <v>1250</v>
      </c>
      <c r="T62" s="11" t="n">
        <v>1100</v>
      </c>
      <c r="U62" s="10" t="s">
        <v>800</v>
      </c>
      <c r="V62" s="10" t="s">
        <v>801</v>
      </c>
      <c r="W62" s="10" t="s">
        <v>1251</v>
      </c>
      <c r="X62" s="10" t="s">
        <v>1252</v>
      </c>
      <c r="Y62" s="10" t="s">
        <v>1253</v>
      </c>
      <c r="Z62" s="10" t="s">
        <v>1254</v>
      </c>
      <c r="AA62" s="10" t="s">
        <v>1255</v>
      </c>
      <c r="AB62" s="10" t="s">
        <v>1256</v>
      </c>
    </row>
    <row r="63" customFormat="false" ht="135.8" hidden="false" customHeight="false" outlineLevel="0" collapsed="false">
      <c r="A63" s="10" t="s">
        <v>1257</v>
      </c>
      <c r="B63" s="10" t="s">
        <v>1248</v>
      </c>
      <c r="C63" s="10" t="s">
        <v>1258</v>
      </c>
      <c r="D63" s="10"/>
      <c r="E63" s="10" t="s">
        <v>600</v>
      </c>
      <c r="F63" s="11" t="n">
        <v>9</v>
      </c>
      <c r="G63" s="11"/>
      <c r="H63" s="18" t="n">
        <f aca="false">IF(G63&lt;&gt;"",G63,IF(F63&lt;&gt;"",ROUND(F63*28.3495,0),""))</f>
        <v>255</v>
      </c>
      <c r="I63" s="11" t="n">
        <v>2</v>
      </c>
      <c r="J63" s="11"/>
      <c r="K63" s="11" t="n">
        <v>10</v>
      </c>
      <c r="L63" s="11" t="n">
        <v>0</v>
      </c>
      <c r="M63" s="18" t="n">
        <f aca="false">IF(H63="","",H63+L63)</f>
        <v>255</v>
      </c>
      <c r="N63" s="23" t="n">
        <f aca="false">IF(OR(K63="",M63=""),"",IF(J63&lt;&gt;"",K63/J63*H63/M63,IF(I63&lt;&gt;"",K63*I63/M63,"")))</f>
        <v>0.0784313725490196</v>
      </c>
      <c r="O63" s="18" t="str">
        <f aca="false">IF(N63="","",IF(N63&lt;FoodClasses!$C$2,"lean",IF(N63&lt;FoodClasses!$C$3,"medium","fatty")))</f>
        <v>medium</v>
      </c>
      <c r="P63" s="11" t="s">
        <v>797</v>
      </c>
      <c r="Q63" s="11" t="s">
        <v>597</v>
      </c>
      <c r="R63" s="11" t="s">
        <v>177</v>
      </c>
      <c r="S63" s="10" t="s">
        <v>1250</v>
      </c>
      <c r="T63" s="11"/>
      <c r="U63" s="10" t="s">
        <v>848</v>
      </c>
      <c r="V63" s="10" t="s">
        <v>801</v>
      </c>
      <c r="W63" s="10" t="s">
        <v>1259</v>
      </c>
      <c r="X63" s="10" t="s">
        <v>1260</v>
      </c>
      <c r="Y63" s="10" t="s">
        <v>1261</v>
      </c>
      <c r="Z63" s="10" t="s">
        <v>1262</v>
      </c>
      <c r="AA63" s="10" t="s">
        <v>1263</v>
      </c>
      <c r="AB63" s="10" t="s">
        <v>1264</v>
      </c>
    </row>
    <row r="64" customFormat="false" ht="79.85" hidden="false" customHeight="false" outlineLevel="0" collapsed="false">
      <c r="A64" s="10" t="s">
        <v>1265</v>
      </c>
      <c r="B64" s="10" t="s">
        <v>1248</v>
      </c>
      <c r="C64" s="10" t="s">
        <v>1266</v>
      </c>
      <c r="D64" s="10" t="s">
        <v>1267</v>
      </c>
      <c r="E64" s="10" t="s">
        <v>580</v>
      </c>
      <c r="F64" s="11" t="n">
        <v>4.5</v>
      </c>
      <c r="G64" s="11"/>
      <c r="H64" s="18" t="n">
        <f aca="false">IF(G64&lt;&gt;"",G64,IF(F64&lt;&gt;"",ROUND(F64*28.3495,0),""))</f>
        <v>128</v>
      </c>
      <c r="I64" s="11" t="n">
        <v>1</v>
      </c>
      <c r="J64" s="11" t="n">
        <v>127</v>
      </c>
      <c r="K64" s="11" t="n">
        <v>15</v>
      </c>
      <c r="L64" s="11" t="n">
        <v>0</v>
      </c>
      <c r="M64" s="18" t="n">
        <f aca="false">IF(H64="","",H64+L64)</f>
        <v>128</v>
      </c>
      <c r="N64" s="23" t="n">
        <f aca="false">IF(OR(K64="",M64=""),"",IF(J64&lt;&gt;"",K64/J64*H64/M64,IF(I64&lt;&gt;"",K64*I64/M64,"")))</f>
        <v>0.118110236220472</v>
      </c>
      <c r="O64" s="18" t="str">
        <f aca="false">IF(N64="","",IF(N64&lt;FoodClasses!$C$2,"lean",IF(N64&lt;FoodClasses!$C$3,"medium","fatty")))</f>
        <v>fatty</v>
      </c>
      <c r="P64" s="11" t="s">
        <v>797</v>
      </c>
      <c r="Q64" s="11" t="s">
        <v>577</v>
      </c>
      <c r="R64" s="11" t="s">
        <v>177</v>
      </c>
      <c r="S64" s="10" t="s">
        <v>1268</v>
      </c>
      <c r="T64" s="11" t="n">
        <v>1100</v>
      </c>
      <c r="U64" s="10" t="s">
        <v>800</v>
      </c>
      <c r="V64" s="10" t="s">
        <v>801</v>
      </c>
      <c r="W64" s="10" t="s">
        <v>1269</v>
      </c>
      <c r="X64" s="10" t="s">
        <v>1270</v>
      </c>
      <c r="Y64" s="10" t="s">
        <v>1271</v>
      </c>
      <c r="Z64" s="10" t="s">
        <v>1272</v>
      </c>
      <c r="AA64" s="10" t="s">
        <v>1273</v>
      </c>
      <c r="AB64" s="10" t="s">
        <v>1274</v>
      </c>
    </row>
    <row r="65" customFormat="false" ht="68.65" hidden="false" customHeight="false" outlineLevel="0" collapsed="false">
      <c r="A65" s="10" t="s">
        <v>1275</v>
      </c>
      <c r="B65" s="10" t="s">
        <v>854</v>
      </c>
      <c r="C65" s="10" t="s">
        <v>1276</v>
      </c>
      <c r="D65" s="10"/>
      <c r="E65" s="10" t="s">
        <v>796</v>
      </c>
      <c r="F65" s="11" t="n">
        <v>9.25</v>
      </c>
      <c r="G65" s="11" t="n">
        <v>262</v>
      </c>
      <c r="H65" s="18" t="n">
        <f aca="false">IF(G65&lt;&gt;"",G65,IF(F65&lt;&gt;"",ROUND(F65*28.3495,0),""))</f>
        <v>262</v>
      </c>
      <c r="I65" s="11" t="n">
        <v>1</v>
      </c>
      <c r="J65" s="11" t="n">
        <v>262</v>
      </c>
      <c r="K65" s="11" t="n">
        <v>5</v>
      </c>
      <c r="L65" s="11" t="n">
        <v>0</v>
      </c>
      <c r="M65" s="18" t="n">
        <f aca="false">IF(H65="","",H65+L65)</f>
        <v>262</v>
      </c>
      <c r="N65" s="23" t="n">
        <f aca="false">IF(OR(K65="",M65=""),"",IF(J65&lt;&gt;"",K65/J65*H65/M65,IF(I65&lt;&gt;"",K65*I65/M65,"")))</f>
        <v>0.0190839694656489</v>
      </c>
      <c r="O65" s="18" t="str">
        <f aca="false">IF(N65="","",IF(N65&lt;FoodClasses!$C$2,"lean",IF(N65&lt;FoodClasses!$C$3,"medium","fatty")))</f>
        <v>lean</v>
      </c>
      <c r="P65" s="11" t="s">
        <v>797</v>
      </c>
      <c r="Q65" s="11" t="s">
        <v>494</v>
      </c>
      <c r="R65" s="24" t="s">
        <v>798</v>
      </c>
      <c r="S65" s="10" t="s">
        <v>856</v>
      </c>
      <c r="T65" s="11" t="n">
        <v>1100</v>
      </c>
      <c r="U65" s="10" t="s">
        <v>800</v>
      </c>
      <c r="V65" s="10" t="s">
        <v>801</v>
      </c>
      <c r="W65" s="10" t="s">
        <v>1277</v>
      </c>
      <c r="X65" s="10" t="s">
        <v>1278</v>
      </c>
      <c r="Y65" s="10"/>
      <c r="Z65" s="10" t="s">
        <v>1279</v>
      </c>
      <c r="AA65" s="10" t="s">
        <v>1280</v>
      </c>
      <c r="AB65" s="10" t="s">
        <v>1281</v>
      </c>
    </row>
    <row r="66" customFormat="false" ht="68.65" hidden="false" customHeight="false" outlineLevel="0" collapsed="false">
      <c r="A66" s="10" t="s">
        <v>1282</v>
      </c>
      <c r="B66" s="10" t="s">
        <v>854</v>
      </c>
      <c r="C66" s="10" t="s">
        <v>1283</v>
      </c>
      <c r="D66" s="10"/>
      <c r="E66" s="10" t="s">
        <v>796</v>
      </c>
      <c r="F66" s="11" t="n">
        <v>9</v>
      </c>
      <c r="G66" s="11"/>
      <c r="H66" s="18" t="n">
        <f aca="false">IF(G66&lt;&gt;"",G66,IF(F66&lt;&gt;"",ROUND(F66*28.3495,0),""))</f>
        <v>255</v>
      </c>
      <c r="I66" s="11" t="n">
        <v>1</v>
      </c>
      <c r="J66" s="11"/>
      <c r="K66" s="11" t="n">
        <v>10</v>
      </c>
      <c r="L66" s="11" t="n">
        <v>0</v>
      </c>
      <c r="M66" s="18" t="n">
        <f aca="false">IF(H66="","",H66+L66)</f>
        <v>255</v>
      </c>
      <c r="N66" s="23" t="n">
        <f aca="false">IF(OR(K66="",M66=""),"",IF(J66&lt;&gt;"",K66/J66*H66/M66,IF(I66&lt;&gt;"",K66*I66/M66,"")))</f>
        <v>0.0392156862745098</v>
      </c>
      <c r="O66" s="18" t="str">
        <f aca="false">IF(N66="","",IF(N66&lt;FoodClasses!$C$2,"lean",IF(N66&lt;FoodClasses!$C$3,"medium","fatty")))</f>
        <v>medium</v>
      </c>
      <c r="P66" s="11" t="s">
        <v>797</v>
      </c>
      <c r="Q66" s="11" t="s">
        <v>494</v>
      </c>
      <c r="R66" s="24" t="s">
        <v>798</v>
      </c>
      <c r="S66" s="10" t="s">
        <v>856</v>
      </c>
      <c r="T66" s="11" t="n">
        <v>1100</v>
      </c>
      <c r="U66" s="10" t="s">
        <v>800</v>
      </c>
      <c r="V66" s="10" t="s">
        <v>801</v>
      </c>
      <c r="W66" s="10" t="s">
        <v>1284</v>
      </c>
      <c r="X66" s="10" t="s">
        <v>1285</v>
      </c>
      <c r="Y66" s="10"/>
      <c r="Z66" s="10" t="s">
        <v>1286</v>
      </c>
      <c r="AA66" s="10" t="s">
        <v>1287</v>
      </c>
      <c r="AB66" s="10" t="s">
        <v>1288</v>
      </c>
    </row>
    <row r="67" customFormat="false" ht="91" hidden="false" customHeight="false" outlineLevel="0" collapsed="false">
      <c r="A67" s="10" t="s">
        <v>1289</v>
      </c>
      <c r="B67" s="10" t="s">
        <v>837</v>
      </c>
      <c r="C67" s="10" t="s">
        <v>1290</v>
      </c>
      <c r="D67" s="10"/>
      <c r="E67" s="10" t="s">
        <v>796</v>
      </c>
      <c r="F67" s="11"/>
      <c r="G67" s="11" t="n">
        <v>297</v>
      </c>
      <c r="H67" s="18" t="n">
        <f aca="false">IF(G67&lt;&gt;"",G67,IF(F67&lt;&gt;"",ROUND(F67*28.3495,0),""))</f>
        <v>297</v>
      </c>
      <c r="I67" s="11" t="n">
        <v>1</v>
      </c>
      <c r="J67" s="11" t="n">
        <v>297</v>
      </c>
      <c r="K67" s="11" t="n">
        <v>12</v>
      </c>
      <c r="L67" s="11" t="n">
        <v>0</v>
      </c>
      <c r="M67" s="18" t="n">
        <f aca="false">IF(H67="","",H67+L67)</f>
        <v>297</v>
      </c>
      <c r="N67" s="23" t="n">
        <f aca="false">IF(OR(K67="",M67=""),"",IF(J67&lt;&gt;"",K67/J67*H67/M67,IF(I67&lt;&gt;"",K67*I67/M67,"")))</f>
        <v>0.0404040404040404</v>
      </c>
      <c r="O67" s="18" t="str">
        <f aca="false">IF(N67="","",IF(N67&lt;FoodClasses!$C$2,"lean",IF(N67&lt;FoodClasses!$C$3,"medium","fatty")))</f>
        <v>medium</v>
      </c>
      <c r="P67" s="11" t="s">
        <v>797</v>
      </c>
      <c r="Q67" s="11" t="s">
        <v>500</v>
      </c>
      <c r="R67" s="24" t="s">
        <v>798</v>
      </c>
      <c r="S67" s="10" t="s">
        <v>1291</v>
      </c>
      <c r="T67" s="11" t="n">
        <v>1100</v>
      </c>
      <c r="U67" s="10" t="s">
        <v>800</v>
      </c>
      <c r="V67" s="10" t="s">
        <v>801</v>
      </c>
      <c r="W67" s="10" t="s">
        <v>1292</v>
      </c>
      <c r="X67" s="10" t="s">
        <v>1293</v>
      </c>
      <c r="Y67" s="10" t="s">
        <v>1294</v>
      </c>
      <c r="Z67" s="10" t="s">
        <v>1295</v>
      </c>
      <c r="AA67" s="10" t="s">
        <v>1296</v>
      </c>
      <c r="AB67" s="10" t="s">
        <v>1297</v>
      </c>
    </row>
    <row r="68" customFormat="false" ht="46.25" hidden="false" customHeight="false" outlineLevel="0" collapsed="false">
      <c r="A68" s="10" t="s">
        <v>1298</v>
      </c>
      <c r="B68" s="10" t="s">
        <v>837</v>
      </c>
      <c r="C68" s="10" t="s">
        <v>1299</v>
      </c>
      <c r="D68" s="10"/>
      <c r="E68" s="10" t="s">
        <v>1041</v>
      </c>
      <c r="F68" s="11" t="n">
        <v>12.75</v>
      </c>
      <c r="G68" s="11"/>
      <c r="H68" s="18" t="n">
        <f aca="false">IF(G68&lt;&gt;"",G68,IF(F68&lt;&gt;"",ROUND(F68*28.3495,0),""))</f>
        <v>361</v>
      </c>
      <c r="I68" s="11" t="n">
        <v>2</v>
      </c>
      <c r="J68" s="11"/>
      <c r="K68" s="11" t="n">
        <v>21</v>
      </c>
      <c r="L68" s="11" t="n">
        <v>0</v>
      </c>
      <c r="M68" s="18" t="n">
        <f aca="false">IF(H68="","",H68+L68)</f>
        <v>361</v>
      </c>
      <c r="N68" s="23" t="n">
        <f aca="false">IF(OR(K68="",M68=""),"",IF(J68&lt;&gt;"",K68/J68*H68/M68,IF(I68&lt;&gt;"",K68*I68/M68,"")))</f>
        <v>0.116343490304709</v>
      </c>
      <c r="O68" s="18" t="str">
        <f aca="false">IF(N68="","",IF(N68&lt;FoodClasses!$C$2,"lean",IF(N68&lt;FoodClasses!$C$3,"medium","fatty")))</f>
        <v>fatty</v>
      </c>
      <c r="P68" s="11" t="s">
        <v>797</v>
      </c>
      <c r="Q68" s="11" t="s">
        <v>505</v>
      </c>
      <c r="R68" s="11" t="s">
        <v>177</v>
      </c>
      <c r="S68" s="10" t="s">
        <v>1300</v>
      </c>
      <c r="T68" s="11" t="n">
        <v>1100</v>
      </c>
      <c r="U68" s="10" t="s">
        <v>800</v>
      </c>
      <c r="V68" s="10" t="s">
        <v>801</v>
      </c>
      <c r="W68" s="10"/>
      <c r="X68" s="10" t="s">
        <v>1301</v>
      </c>
      <c r="Y68" s="10" t="s">
        <v>1302</v>
      </c>
      <c r="Z68" s="10" t="s">
        <v>1303</v>
      </c>
      <c r="AA68" s="10" t="s">
        <v>1304</v>
      </c>
      <c r="AB68" s="10" t="s">
        <v>1305</v>
      </c>
    </row>
    <row r="69" customFormat="false" ht="79.85" hidden="false" customHeight="false" outlineLevel="0" collapsed="false">
      <c r="A69" s="10" t="s">
        <v>1306</v>
      </c>
      <c r="B69" s="10" t="s">
        <v>1307</v>
      </c>
      <c r="C69" s="10" t="s">
        <v>1308</v>
      </c>
      <c r="D69" s="10"/>
      <c r="E69" s="10" t="s">
        <v>919</v>
      </c>
      <c r="F69" s="11" t="n">
        <v>2.39</v>
      </c>
      <c r="G69" s="11"/>
      <c r="H69" s="18" t="n">
        <f aca="false">IF(G69&lt;&gt;"",G69,IF(F69&lt;&gt;"",ROUND(F69*28.3495,0),""))</f>
        <v>68</v>
      </c>
      <c r="I69" s="11" t="n">
        <v>1</v>
      </c>
      <c r="J69" s="11"/>
      <c r="K69" s="11" t="n">
        <v>8</v>
      </c>
      <c r="L69" s="24" t="n">
        <v>110</v>
      </c>
      <c r="M69" s="18" t="n">
        <f aca="false">IF(H69="","",H69+L69)</f>
        <v>178</v>
      </c>
      <c r="N69" s="23" t="n">
        <f aca="false">IF(OR(K69="",M69=""),"",IF(J69&lt;&gt;"",K69/J69*H69/M69,IF(I69&lt;&gt;"",K69*I69/M69,"")))</f>
        <v>0.0449438202247191</v>
      </c>
      <c r="O69" s="18" t="str">
        <f aca="false">IF(N69="","",IF(N69&lt;FoodClasses!$C$2,"lean",IF(N69&lt;FoodClasses!$C$3,"medium","fatty")))</f>
        <v>medium</v>
      </c>
      <c r="P69" s="11" t="s">
        <v>920</v>
      </c>
      <c r="Q69" s="11" t="s">
        <v>494</v>
      </c>
      <c r="R69" s="25" t="s">
        <v>811</v>
      </c>
      <c r="S69" s="10" t="s">
        <v>1309</v>
      </c>
      <c r="T69" s="11"/>
      <c r="U69" s="10" t="s">
        <v>848</v>
      </c>
      <c r="V69" s="10" t="s">
        <v>801</v>
      </c>
      <c r="W69" s="10"/>
      <c r="X69" s="10" t="s">
        <v>1310</v>
      </c>
      <c r="Y69" s="10"/>
      <c r="Z69" s="10" t="s">
        <v>1311</v>
      </c>
      <c r="AA69" s="10" t="s">
        <v>1312</v>
      </c>
      <c r="AB69" s="10" t="s">
        <v>1313</v>
      </c>
    </row>
    <row r="70" customFormat="false" ht="79.85" hidden="false" customHeight="false" outlineLevel="0" collapsed="false">
      <c r="A70" s="10" t="s">
        <v>1314</v>
      </c>
      <c r="B70" s="10" t="s">
        <v>917</v>
      </c>
      <c r="C70" s="10" t="s">
        <v>1315</v>
      </c>
      <c r="D70" s="10"/>
      <c r="E70" s="10" t="s">
        <v>919</v>
      </c>
      <c r="F70" s="11" t="n">
        <v>2.05</v>
      </c>
      <c r="G70" s="11"/>
      <c r="H70" s="18" t="n">
        <f aca="false">IF(G70&lt;&gt;"",G70,IF(F70&lt;&gt;"",ROUND(F70*28.3495,0),""))</f>
        <v>58</v>
      </c>
      <c r="I70" s="11" t="n">
        <v>1</v>
      </c>
      <c r="J70" s="11"/>
      <c r="K70" s="11" t="n">
        <v>3.5</v>
      </c>
      <c r="L70" s="24" t="n">
        <v>110</v>
      </c>
      <c r="M70" s="18" t="n">
        <f aca="false">IF(H70="","",H70+L70)</f>
        <v>168</v>
      </c>
      <c r="N70" s="23" t="n">
        <f aca="false">IF(OR(K70="",M70=""),"",IF(J70&lt;&gt;"",K70/J70*H70/M70,IF(I70&lt;&gt;"",K70*I70/M70,"")))</f>
        <v>0.0208333333333333</v>
      </c>
      <c r="O70" s="18" t="str">
        <f aca="false">IF(N70="","",IF(N70&lt;FoodClasses!$C$2,"lean",IF(N70&lt;FoodClasses!$C$3,"medium","fatty")))</f>
        <v>lean</v>
      </c>
      <c r="P70" s="11" t="s">
        <v>920</v>
      </c>
      <c r="Q70" s="11" t="s">
        <v>494</v>
      </c>
      <c r="R70" s="25" t="s">
        <v>811</v>
      </c>
      <c r="S70" s="10" t="s">
        <v>1309</v>
      </c>
      <c r="T70" s="11"/>
      <c r="U70" s="10" t="s">
        <v>848</v>
      </c>
      <c r="V70" s="10" t="s">
        <v>801</v>
      </c>
      <c r="W70" s="10"/>
      <c r="X70" s="10" t="s">
        <v>1310</v>
      </c>
      <c r="Y70" s="10"/>
      <c r="Z70" s="10" t="s">
        <v>1316</v>
      </c>
      <c r="AA70" s="10" t="s">
        <v>1317</v>
      </c>
      <c r="AB70" s="10" t="s">
        <v>1318</v>
      </c>
    </row>
    <row r="71" customFormat="false" ht="35.05" hidden="false" customHeight="false" outlineLevel="0" collapsed="false">
      <c r="A71" s="10" t="s">
        <v>1319</v>
      </c>
      <c r="B71" s="10" t="s">
        <v>1320</v>
      </c>
      <c r="C71" s="10" t="s">
        <v>1321</v>
      </c>
      <c r="D71" s="10"/>
      <c r="E71" s="10" t="s">
        <v>919</v>
      </c>
      <c r="F71" s="11" t="n">
        <v>2.01</v>
      </c>
      <c r="G71" s="11"/>
      <c r="H71" s="18" t="n">
        <f aca="false">IF(G71&lt;&gt;"",G71,IF(F71&lt;&gt;"",ROUND(F71*28.3495,0),""))</f>
        <v>57</v>
      </c>
      <c r="I71" s="11" t="n">
        <v>1</v>
      </c>
      <c r="J71" s="11"/>
      <c r="K71" s="11" t="n">
        <v>5</v>
      </c>
      <c r="L71" s="24" t="n">
        <v>110</v>
      </c>
      <c r="M71" s="18" t="n">
        <f aca="false">IF(H71="","",H71+L71)</f>
        <v>167</v>
      </c>
      <c r="N71" s="23" t="n">
        <f aca="false">IF(OR(K71="",M71=""),"",IF(J71&lt;&gt;"",K71/J71*H71/M71,IF(I71&lt;&gt;"",K71*I71/M71,"")))</f>
        <v>0.029940119760479</v>
      </c>
      <c r="O71" s="18" t="str">
        <f aca="false">IF(N71="","",IF(N71&lt;FoodClasses!$C$2,"lean",IF(N71&lt;FoodClasses!$C$3,"medium","fatty")))</f>
        <v>lean</v>
      </c>
      <c r="P71" s="11" t="s">
        <v>920</v>
      </c>
      <c r="Q71" s="11" t="s">
        <v>494</v>
      </c>
      <c r="R71" s="25" t="s">
        <v>811</v>
      </c>
      <c r="S71" s="10" t="s">
        <v>1309</v>
      </c>
      <c r="T71" s="11"/>
      <c r="U71" s="10" t="s">
        <v>848</v>
      </c>
      <c r="V71" s="10" t="s">
        <v>801</v>
      </c>
      <c r="W71" s="10"/>
      <c r="X71" s="10" t="s">
        <v>1322</v>
      </c>
      <c r="Y71" s="10"/>
      <c r="Z71" s="10" t="s">
        <v>1323</v>
      </c>
      <c r="AA71" s="10" t="s">
        <v>1317</v>
      </c>
      <c r="AB71" s="10" t="s">
        <v>1324</v>
      </c>
    </row>
    <row r="72" customFormat="false" ht="46.25" hidden="false" customHeight="false" outlineLevel="0" collapsed="false">
      <c r="A72" s="10" t="s">
        <v>1325</v>
      </c>
      <c r="B72" s="10" t="s">
        <v>1320</v>
      </c>
      <c r="C72" s="10" t="s">
        <v>1326</v>
      </c>
      <c r="D72" s="10"/>
      <c r="E72" s="10" t="s">
        <v>919</v>
      </c>
      <c r="F72" s="11" t="n">
        <v>2.6</v>
      </c>
      <c r="G72" s="11"/>
      <c r="H72" s="18" t="n">
        <f aca="false">IF(G72&lt;&gt;"",G72,IF(F72&lt;&gt;"",ROUND(F72*28.3495,0),""))</f>
        <v>74</v>
      </c>
      <c r="I72" s="11" t="n">
        <v>1</v>
      </c>
      <c r="J72" s="11"/>
      <c r="K72" s="11" t="n">
        <v>6</v>
      </c>
      <c r="L72" s="24" t="n">
        <v>110</v>
      </c>
      <c r="M72" s="18" t="n">
        <f aca="false">IF(H72="","",H72+L72)</f>
        <v>184</v>
      </c>
      <c r="N72" s="23" t="n">
        <f aca="false">IF(OR(K72="",M72=""),"",IF(J72&lt;&gt;"",K72/J72*H72/M72,IF(I72&lt;&gt;"",K72*I72/M72,"")))</f>
        <v>0.0326086956521739</v>
      </c>
      <c r="O72" s="18" t="str">
        <f aca="false">IF(N72="","",IF(N72&lt;FoodClasses!$C$2,"lean",IF(N72&lt;FoodClasses!$C$3,"medium","fatty")))</f>
        <v>medium</v>
      </c>
      <c r="P72" s="11" t="s">
        <v>920</v>
      </c>
      <c r="Q72" s="11" t="s">
        <v>494</v>
      </c>
      <c r="R72" s="25" t="s">
        <v>811</v>
      </c>
      <c r="S72" s="10" t="s">
        <v>1309</v>
      </c>
      <c r="T72" s="11"/>
      <c r="U72" s="10" t="s">
        <v>848</v>
      </c>
      <c r="V72" s="10" t="s">
        <v>801</v>
      </c>
      <c r="W72" s="10"/>
      <c r="X72" s="10" t="s">
        <v>1322</v>
      </c>
      <c r="Y72" s="10"/>
      <c r="Z72" s="10" t="s">
        <v>1327</v>
      </c>
      <c r="AA72" s="10" t="s">
        <v>1328</v>
      </c>
      <c r="AB72" s="10" t="s">
        <v>1329</v>
      </c>
    </row>
    <row r="73" customFormat="false" ht="68.65" hidden="false" customHeight="false" outlineLevel="0" collapsed="false">
      <c r="A73" s="10" t="s">
        <v>1330</v>
      </c>
      <c r="B73" s="10" t="s">
        <v>960</v>
      </c>
      <c r="C73" s="10" t="s">
        <v>1331</v>
      </c>
      <c r="D73" s="10"/>
      <c r="E73" s="10" t="s">
        <v>919</v>
      </c>
      <c r="F73" s="11" t="n">
        <v>10</v>
      </c>
      <c r="G73" s="11"/>
      <c r="H73" s="18" t="n">
        <f aca="false">IF(G73&lt;&gt;"",G73,IF(F73&lt;&gt;"",ROUND(F73*28.3495,0),""))</f>
        <v>283</v>
      </c>
      <c r="I73" s="11" t="n">
        <v>1</v>
      </c>
      <c r="J73" s="11"/>
      <c r="K73" s="11" t="n">
        <v>18</v>
      </c>
      <c r="L73" s="11" t="n">
        <v>0</v>
      </c>
      <c r="M73" s="18" t="n">
        <f aca="false">IF(H73="","",H73+L73)</f>
        <v>283</v>
      </c>
      <c r="N73" s="23" t="n">
        <f aca="false">IF(OR(K73="",M73=""),"",IF(J73&lt;&gt;"",K73/J73*H73/M73,IF(I73&lt;&gt;"",K73*I73/M73,"")))</f>
        <v>0.0636042402826855</v>
      </c>
      <c r="O73" s="18" t="str">
        <f aca="false">IF(N73="","",IF(N73&lt;FoodClasses!$C$2,"lean",IF(N73&lt;FoodClasses!$C$3,"medium","fatty")))</f>
        <v>medium</v>
      </c>
      <c r="P73" s="11" t="s">
        <v>920</v>
      </c>
      <c r="Q73" s="11" t="s">
        <v>494</v>
      </c>
      <c r="R73" s="24" t="s">
        <v>798</v>
      </c>
      <c r="S73" s="10" t="s">
        <v>1332</v>
      </c>
      <c r="T73" s="11"/>
      <c r="U73" s="10" t="s">
        <v>848</v>
      </c>
      <c r="V73" s="10" t="s">
        <v>801</v>
      </c>
      <c r="W73" s="10"/>
      <c r="X73" s="10" t="s">
        <v>1333</v>
      </c>
      <c r="Y73" s="10"/>
      <c r="Z73" s="10" t="s">
        <v>1334</v>
      </c>
      <c r="AA73" s="10" t="s">
        <v>1335</v>
      </c>
      <c r="AB73" s="10" t="s">
        <v>1336</v>
      </c>
    </row>
    <row r="74" customFormat="false" ht="23.85" hidden="false" customHeight="false" outlineLevel="0" collapsed="false">
      <c r="A74" s="10" t="s">
        <v>1337</v>
      </c>
      <c r="B74" s="10" t="s">
        <v>1338</v>
      </c>
      <c r="C74" s="10" t="s">
        <v>1339</v>
      </c>
      <c r="D74" s="10"/>
      <c r="E74" s="10" t="s">
        <v>919</v>
      </c>
      <c r="F74" s="11" t="n">
        <v>9</v>
      </c>
      <c r="G74" s="11"/>
      <c r="H74" s="18" t="n">
        <f aca="false">IF(G74&lt;&gt;"",G74,IF(F74&lt;&gt;"",ROUND(F74*28.3495,0),""))</f>
        <v>255</v>
      </c>
      <c r="I74" s="11" t="n">
        <v>1</v>
      </c>
      <c r="J74" s="11"/>
      <c r="K74" s="11" t="n">
        <v>12</v>
      </c>
      <c r="L74" s="11" t="n">
        <v>0</v>
      </c>
      <c r="M74" s="18" t="n">
        <f aca="false">IF(H74="","",H74+L74)</f>
        <v>255</v>
      </c>
      <c r="N74" s="23" t="n">
        <f aca="false">IF(OR(K74="",M74=""),"",IF(J74&lt;&gt;"",K74/J74*H74/M74,IF(I74&lt;&gt;"",K74*I74/M74,"")))</f>
        <v>0.0470588235294118</v>
      </c>
      <c r="O74" s="18" t="str">
        <f aca="false">IF(N74="","",IF(N74&lt;FoodClasses!$C$2,"lean",IF(N74&lt;FoodClasses!$C$3,"medium","fatty")))</f>
        <v>medium</v>
      </c>
      <c r="P74" s="11" t="s">
        <v>920</v>
      </c>
      <c r="Q74" s="11" t="s">
        <v>494</v>
      </c>
      <c r="R74" s="24" t="s">
        <v>798</v>
      </c>
      <c r="S74" s="10" t="s">
        <v>1332</v>
      </c>
      <c r="T74" s="11"/>
      <c r="U74" s="10" t="s">
        <v>848</v>
      </c>
      <c r="V74" s="10" t="s">
        <v>801</v>
      </c>
      <c r="W74" s="10"/>
      <c r="X74" s="10" t="s">
        <v>1340</v>
      </c>
      <c r="Y74" s="10"/>
      <c r="Z74" s="10" t="s">
        <v>1341</v>
      </c>
      <c r="AA74" s="10" t="s">
        <v>1342</v>
      </c>
      <c r="AB74" s="10" t="s">
        <v>1343</v>
      </c>
    </row>
    <row r="75" customFormat="false" ht="46.25" hidden="false" customHeight="false" outlineLevel="0" collapsed="false">
      <c r="A75" s="10" t="s">
        <v>1344</v>
      </c>
      <c r="B75" s="10" t="s">
        <v>943</v>
      </c>
      <c r="C75" s="10" t="s">
        <v>1345</v>
      </c>
      <c r="D75" s="10" t="s">
        <v>1346</v>
      </c>
      <c r="E75" s="10" t="s">
        <v>919</v>
      </c>
      <c r="F75" s="11" t="n">
        <v>15.25</v>
      </c>
      <c r="G75" s="11"/>
      <c r="H75" s="18" t="n">
        <f aca="false">IF(G75&lt;&gt;"",G75,IF(F75&lt;&gt;"",ROUND(F75*28.3495,0),""))</f>
        <v>432</v>
      </c>
      <c r="I75" s="11" t="n">
        <v>1</v>
      </c>
      <c r="J75" s="11"/>
      <c r="K75" s="11" t="n">
        <v>12</v>
      </c>
      <c r="L75" s="11" t="n">
        <v>0</v>
      </c>
      <c r="M75" s="18" t="n">
        <f aca="false">IF(H75="","",H75+L75)</f>
        <v>432</v>
      </c>
      <c r="N75" s="23" t="n">
        <f aca="false">IF(OR(K75="",M75=""),"",IF(J75&lt;&gt;"",K75/J75*H75/M75,IF(I75&lt;&gt;"",K75*I75/M75,"")))</f>
        <v>0.0277777777777778</v>
      </c>
      <c r="O75" s="18" t="str">
        <f aca="false">IF(N75="","",IF(N75&lt;FoodClasses!$C$2,"lean",IF(N75&lt;FoodClasses!$C$3,"medium","fatty")))</f>
        <v>lean</v>
      </c>
      <c r="P75" s="11" t="s">
        <v>920</v>
      </c>
      <c r="Q75" s="11" t="s">
        <v>494</v>
      </c>
      <c r="R75" s="24" t="s">
        <v>798</v>
      </c>
      <c r="S75" s="10" t="s">
        <v>1347</v>
      </c>
      <c r="T75" s="11"/>
      <c r="U75" s="10" t="s">
        <v>848</v>
      </c>
      <c r="V75" s="10" t="s">
        <v>801</v>
      </c>
      <c r="W75" s="10" t="s">
        <v>1348</v>
      </c>
      <c r="X75" s="10" t="s">
        <v>948</v>
      </c>
      <c r="Y75" s="10"/>
      <c r="Z75" s="10" t="s">
        <v>1349</v>
      </c>
      <c r="AA75" s="10" t="s">
        <v>1350</v>
      </c>
      <c r="AB75" s="10" t="s">
        <v>1351</v>
      </c>
    </row>
    <row r="76" customFormat="false" ht="79.85" hidden="false" customHeight="false" outlineLevel="0" collapsed="false">
      <c r="A76" s="10" t="s">
        <v>1352</v>
      </c>
      <c r="B76" s="10" t="s">
        <v>943</v>
      </c>
      <c r="C76" s="10" t="s">
        <v>1353</v>
      </c>
      <c r="D76" s="10"/>
      <c r="E76" s="10" t="s">
        <v>919</v>
      </c>
      <c r="F76" s="11" t="n">
        <v>15.25</v>
      </c>
      <c r="G76" s="11"/>
      <c r="H76" s="18" t="n">
        <f aca="false">IF(G76&lt;&gt;"",G76,IF(F76&lt;&gt;"",ROUND(F76*28.3495,0),""))</f>
        <v>432</v>
      </c>
      <c r="I76" s="11" t="n">
        <v>1</v>
      </c>
      <c r="J76" s="11"/>
      <c r="K76" s="11" t="n">
        <v>17</v>
      </c>
      <c r="L76" s="11" t="n">
        <v>0</v>
      </c>
      <c r="M76" s="18" t="n">
        <f aca="false">IF(H76="","",H76+L76)</f>
        <v>432</v>
      </c>
      <c r="N76" s="23" t="n">
        <f aca="false">IF(OR(K76="",M76=""),"",IF(J76&lt;&gt;"",K76/J76*H76/M76,IF(I76&lt;&gt;"",K76*I76/M76,"")))</f>
        <v>0.0393518518518519</v>
      </c>
      <c r="O76" s="18" t="str">
        <f aca="false">IF(N76="","",IF(N76&lt;FoodClasses!$C$2,"lean",IF(N76&lt;FoodClasses!$C$3,"medium","fatty")))</f>
        <v>medium</v>
      </c>
      <c r="P76" s="11" t="s">
        <v>920</v>
      </c>
      <c r="Q76" s="11" t="s">
        <v>494</v>
      </c>
      <c r="R76" s="24" t="s">
        <v>798</v>
      </c>
      <c r="S76" s="10" t="s">
        <v>1347</v>
      </c>
      <c r="T76" s="11"/>
      <c r="U76" s="10" t="s">
        <v>848</v>
      </c>
      <c r="V76" s="10" t="s">
        <v>801</v>
      </c>
      <c r="W76" s="10" t="s">
        <v>1348</v>
      </c>
      <c r="X76" s="10" t="s">
        <v>1354</v>
      </c>
      <c r="Y76" s="10"/>
      <c r="Z76" s="10" t="s">
        <v>1355</v>
      </c>
      <c r="AA76" s="10" t="s">
        <v>1356</v>
      </c>
      <c r="AB76" s="10" t="s">
        <v>1357</v>
      </c>
    </row>
    <row r="77" customFormat="false" ht="57.45" hidden="false" customHeight="false" outlineLevel="0" collapsed="false">
      <c r="A77" s="10" t="s">
        <v>1358</v>
      </c>
      <c r="B77" s="10" t="s">
        <v>892</v>
      </c>
      <c r="C77" s="10" t="s">
        <v>1359</v>
      </c>
      <c r="D77" s="10"/>
      <c r="E77" s="10" t="s">
        <v>796</v>
      </c>
      <c r="F77" s="11" t="n">
        <v>9.5</v>
      </c>
      <c r="G77" s="11"/>
      <c r="H77" s="18" t="n">
        <f aca="false">IF(G77&lt;&gt;"",G77,IF(F77&lt;&gt;"",ROUND(F77*28.3495,0),""))</f>
        <v>269</v>
      </c>
      <c r="I77" s="11" t="n">
        <v>1</v>
      </c>
      <c r="J77" s="11"/>
      <c r="K77" s="11" t="n">
        <v>21</v>
      </c>
      <c r="L77" s="11" t="n">
        <v>0</v>
      </c>
      <c r="M77" s="18" t="n">
        <f aca="false">IF(H77="","",H77+L77)</f>
        <v>269</v>
      </c>
      <c r="N77" s="23" t="n">
        <f aca="false">IF(OR(K77="",M77=""),"",IF(J77&lt;&gt;"",K77/J77*H77/M77,IF(I77&lt;&gt;"",K77*I77/M77,"")))</f>
        <v>0.0780669144981413</v>
      </c>
      <c r="O77" s="18" t="str">
        <f aca="false">IF(N77="","",IF(N77&lt;FoodClasses!$C$2,"lean",IF(N77&lt;FoodClasses!$C$3,"medium","fatty")))</f>
        <v>medium</v>
      </c>
      <c r="P77" s="11" t="s">
        <v>797</v>
      </c>
      <c r="Q77" s="11" t="s">
        <v>486</v>
      </c>
      <c r="R77" s="25" t="s">
        <v>811</v>
      </c>
      <c r="S77" s="10" t="s">
        <v>1360</v>
      </c>
      <c r="T77" s="11"/>
      <c r="U77" s="10" t="s">
        <v>848</v>
      </c>
      <c r="V77" s="10" t="s">
        <v>801</v>
      </c>
      <c r="W77" s="10" t="s">
        <v>1361</v>
      </c>
      <c r="X77" s="10" t="s">
        <v>1362</v>
      </c>
      <c r="Y77" s="10" t="s">
        <v>1363</v>
      </c>
      <c r="Z77" s="10" t="s">
        <v>1364</v>
      </c>
      <c r="AA77" s="10" t="s">
        <v>1365</v>
      </c>
      <c r="AB77" s="10" t="s">
        <v>1366</v>
      </c>
    </row>
    <row r="78" customFormat="false" ht="57.45" hidden="false" customHeight="false" outlineLevel="0" collapsed="false">
      <c r="A78" s="10" t="s">
        <v>1367</v>
      </c>
      <c r="B78" s="10" t="s">
        <v>892</v>
      </c>
      <c r="C78" s="10" t="s">
        <v>1368</v>
      </c>
      <c r="D78" s="10"/>
      <c r="E78" s="10" t="s">
        <v>796</v>
      </c>
      <c r="F78" s="11" t="n">
        <v>9</v>
      </c>
      <c r="G78" s="11"/>
      <c r="H78" s="18" t="n">
        <f aca="false">IF(G78&lt;&gt;"",G78,IF(F78&lt;&gt;"",ROUND(F78*28.3495,0),""))</f>
        <v>255</v>
      </c>
      <c r="I78" s="11" t="n">
        <v>1</v>
      </c>
      <c r="J78" s="11"/>
      <c r="K78" s="11" t="n">
        <v>16</v>
      </c>
      <c r="L78" s="11" t="n">
        <v>0</v>
      </c>
      <c r="M78" s="18" t="n">
        <f aca="false">IF(H78="","",H78+L78)</f>
        <v>255</v>
      </c>
      <c r="N78" s="23" t="n">
        <f aca="false">IF(OR(K78="",M78=""),"",IF(J78&lt;&gt;"",K78/J78*H78/M78,IF(I78&lt;&gt;"",K78*I78/M78,"")))</f>
        <v>0.0627450980392157</v>
      </c>
      <c r="O78" s="18" t="str">
        <f aca="false">IF(N78="","",IF(N78&lt;FoodClasses!$C$2,"lean",IF(N78&lt;FoodClasses!$C$3,"medium","fatty")))</f>
        <v>medium</v>
      </c>
      <c r="P78" s="11" t="s">
        <v>797</v>
      </c>
      <c r="Q78" s="11" t="s">
        <v>486</v>
      </c>
      <c r="R78" s="25" t="s">
        <v>811</v>
      </c>
      <c r="S78" s="10" t="s">
        <v>1360</v>
      </c>
      <c r="T78" s="11"/>
      <c r="U78" s="10" t="s">
        <v>848</v>
      </c>
      <c r="V78" s="10" t="s">
        <v>801</v>
      </c>
      <c r="W78" s="10" t="s">
        <v>1361</v>
      </c>
      <c r="X78" s="10" t="s">
        <v>1369</v>
      </c>
      <c r="Y78" s="10" t="s">
        <v>1370</v>
      </c>
      <c r="Z78" s="10" t="s">
        <v>1371</v>
      </c>
      <c r="AA78" s="10" t="s">
        <v>1372</v>
      </c>
      <c r="AB78" s="10" t="s">
        <v>1373</v>
      </c>
    </row>
    <row r="79" customFormat="false" ht="68.65" hidden="false" customHeight="false" outlineLevel="0" collapsed="false">
      <c r="A79" s="10" t="s">
        <v>1374</v>
      </c>
      <c r="B79" s="10" t="s">
        <v>1375</v>
      </c>
      <c r="C79" s="10" t="s">
        <v>1376</v>
      </c>
      <c r="D79" s="10" t="s">
        <v>1377</v>
      </c>
      <c r="E79" s="10" t="s">
        <v>796</v>
      </c>
      <c r="F79" s="11" t="n">
        <v>7</v>
      </c>
      <c r="G79" s="11"/>
      <c r="H79" s="18" t="n">
        <f aca="false">IF(G79&lt;&gt;"",G79,IF(F79&lt;&gt;"",ROUND(F79*28.3495,0),""))</f>
        <v>198</v>
      </c>
      <c r="I79" s="11" t="n">
        <v>1</v>
      </c>
      <c r="J79" s="11"/>
      <c r="K79" s="11" t="n">
        <v>37</v>
      </c>
      <c r="L79" s="11" t="n">
        <v>0</v>
      </c>
      <c r="M79" s="18" t="n">
        <f aca="false">IF(H79="","",H79+L79)</f>
        <v>198</v>
      </c>
      <c r="N79" s="23" t="n">
        <f aca="false">IF(OR(K79="",M79=""),"",IF(J79&lt;&gt;"",K79/J79*H79/M79,IF(I79&lt;&gt;"",K79*I79/M79,"")))</f>
        <v>0.186868686868687</v>
      </c>
      <c r="O79" s="18" t="str">
        <f aca="false">IF(N79="","",IF(N79&lt;FoodClasses!$C$2,"lean",IF(N79&lt;FoodClasses!$C$3,"medium","fatty")))</f>
        <v>fatty</v>
      </c>
      <c r="P79" s="11" t="s">
        <v>797</v>
      </c>
      <c r="Q79" s="11" t="s">
        <v>494</v>
      </c>
      <c r="R79" s="24" t="s">
        <v>798</v>
      </c>
      <c r="S79" s="10" t="s">
        <v>1102</v>
      </c>
      <c r="T79" s="11" t="n">
        <v>1100</v>
      </c>
      <c r="U79" s="10" t="s">
        <v>800</v>
      </c>
      <c r="V79" s="10" t="s">
        <v>801</v>
      </c>
      <c r="W79" s="10" t="s">
        <v>1378</v>
      </c>
      <c r="X79" s="10" t="s">
        <v>1379</v>
      </c>
      <c r="Y79" s="10"/>
      <c r="Z79" s="10" t="s">
        <v>1380</v>
      </c>
      <c r="AA79" s="10"/>
      <c r="AB79" s="10" t="s">
        <v>1381</v>
      </c>
    </row>
    <row r="80" customFormat="false" ht="46.25" hidden="false" customHeight="false" outlineLevel="0" collapsed="false">
      <c r="A80" s="10" t="s">
        <v>1382</v>
      </c>
      <c r="B80" s="10" t="s">
        <v>1375</v>
      </c>
      <c r="C80" s="10" t="s">
        <v>1383</v>
      </c>
      <c r="D80" s="10"/>
      <c r="E80" s="10" t="s">
        <v>580</v>
      </c>
      <c r="F80" s="11" t="n">
        <v>5.1</v>
      </c>
      <c r="G80" s="11"/>
      <c r="H80" s="18" t="n">
        <f aca="false">IF(G80&lt;&gt;"",G80,IF(F80&lt;&gt;"",ROUND(F80*28.3495,0),""))</f>
        <v>145</v>
      </c>
      <c r="I80" s="11" t="n">
        <v>1</v>
      </c>
      <c r="J80" s="11"/>
      <c r="K80" s="11" t="n">
        <v>8</v>
      </c>
      <c r="L80" s="11" t="n">
        <v>0</v>
      </c>
      <c r="M80" s="18" t="n">
        <f aca="false">IF(H80="","",H80+L80)</f>
        <v>145</v>
      </c>
      <c r="N80" s="23" t="n">
        <f aca="false">IF(OR(K80="",M80=""),"",IF(J80&lt;&gt;"",K80/J80*H80/M80,IF(I80&lt;&gt;"",K80*I80/M80,"")))</f>
        <v>0.0551724137931035</v>
      </c>
      <c r="O80" s="18" t="str">
        <f aca="false">IF(N80="","",IF(N80&lt;FoodClasses!$C$2,"lean",IF(N80&lt;FoodClasses!$C$3,"medium","fatty")))</f>
        <v>medium</v>
      </c>
      <c r="P80" s="11" t="s">
        <v>797</v>
      </c>
      <c r="Q80" s="11" t="s">
        <v>577</v>
      </c>
      <c r="R80" s="11" t="s">
        <v>177</v>
      </c>
      <c r="S80" s="10" t="s">
        <v>1268</v>
      </c>
      <c r="T80" s="11" t="n">
        <v>1100</v>
      </c>
      <c r="U80" s="10" t="s">
        <v>800</v>
      </c>
      <c r="V80" s="10" t="s">
        <v>801</v>
      </c>
      <c r="W80" s="10" t="s">
        <v>1384</v>
      </c>
      <c r="X80" s="10" t="s">
        <v>1385</v>
      </c>
      <c r="Y80" s="10" t="s">
        <v>1386</v>
      </c>
      <c r="Z80" s="10" t="s">
        <v>1387</v>
      </c>
      <c r="AA80" s="10" t="s">
        <v>1388</v>
      </c>
      <c r="AB80" s="10" t="s">
        <v>1389</v>
      </c>
    </row>
    <row r="81" customFormat="false" ht="46.25" hidden="false" customHeight="false" outlineLevel="0" collapsed="false">
      <c r="A81" s="10" t="s">
        <v>1390</v>
      </c>
      <c r="B81" s="10" t="s">
        <v>1391</v>
      </c>
      <c r="C81" s="10" t="s">
        <v>1392</v>
      </c>
      <c r="D81" s="10"/>
      <c r="E81" s="10" t="s">
        <v>580</v>
      </c>
      <c r="F81" s="11" t="n">
        <v>4</v>
      </c>
      <c r="G81" s="11"/>
      <c r="H81" s="18" t="n">
        <f aca="false">IF(G81&lt;&gt;"",G81,IF(F81&lt;&gt;"",ROUND(F81*28.3495,0),""))</f>
        <v>113</v>
      </c>
      <c r="I81" s="11" t="n">
        <v>1</v>
      </c>
      <c r="J81" s="11"/>
      <c r="K81" s="11" t="n">
        <v>14</v>
      </c>
      <c r="L81" s="11" t="n">
        <v>0</v>
      </c>
      <c r="M81" s="18" t="n">
        <f aca="false">IF(H81="","",H81+L81)</f>
        <v>113</v>
      </c>
      <c r="N81" s="23" t="n">
        <f aca="false">IF(OR(K81="",M81=""),"",IF(J81&lt;&gt;"",K81/J81*H81/M81,IF(I81&lt;&gt;"",K81*I81/M81,"")))</f>
        <v>0.123893805309735</v>
      </c>
      <c r="O81" s="18" t="str">
        <f aca="false">IF(N81="","",IF(N81&lt;FoodClasses!$C$2,"lean",IF(N81&lt;FoodClasses!$C$3,"medium","fatty")))</f>
        <v>fatty</v>
      </c>
      <c r="P81" s="11" t="s">
        <v>797</v>
      </c>
      <c r="Q81" s="11" t="s">
        <v>577</v>
      </c>
      <c r="R81" s="11" t="s">
        <v>177</v>
      </c>
      <c r="S81" s="10" t="s">
        <v>1268</v>
      </c>
      <c r="T81" s="11" t="n">
        <v>1100</v>
      </c>
      <c r="U81" s="10" t="s">
        <v>800</v>
      </c>
      <c r="V81" s="10" t="s">
        <v>801</v>
      </c>
      <c r="W81" s="10" t="s">
        <v>857</v>
      </c>
      <c r="X81" s="10" t="s">
        <v>1393</v>
      </c>
      <c r="Y81" s="10" t="s">
        <v>1394</v>
      </c>
      <c r="Z81" s="10" t="s">
        <v>1395</v>
      </c>
      <c r="AA81" s="10" t="s">
        <v>1396</v>
      </c>
      <c r="AB81" s="10" t="s">
        <v>1397</v>
      </c>
    </row>
    <row r="82" customFormat="false" ht="79.85" hidden="false" customHeight="false" outlineLevel="0" collapsed="false">
      <c r="A82" s="10" t="s">
        <v>1398</v>
      </c>
      <c r="B82" s="10" t="s">
        <v>1039</v>
      </c>
      <c r="C82" s="10" t="s">
        <v>1399</v>
      </c>
      <c r="D82" s="10"/>
      <c r="E82" s="10" t="s">
        <v>580</v>
      </c>
      <c r="F82" s="11" t="n">
        <v>24</v>
      </c>
      <c r="G82" s="11"/>
      <c r="H82" s="18" t="n">
        <f aca="false">IF(G82&lt;&gt;"",G82,IF(F82&lt;&gt;"",ROUND(F82*28.3495,0),""))</f>
        <v>680</v>
      </c>
      <c r="I82" s="11" t="n">
        <v>8</v>
      </c>
      <c r="J82" s="11"/>
      <c r="K82" s="11" t="n">
        <v>8</v>
      </c>
      <c r="L82" s="11" t="n">
        <v>0</v>
      </c>
      <c r="M82" s="18" t="n">
        <f aca="false">IF(H82="","",H82+L82)</f>
        <v>680</v>
      </c>
      <c r="N82" s="23" t="n">
        <f aca="false">IF(OR(K82="",M82=""),"",IF(J82&lt;&gt;"",K82/J82*H82/M82,IF(I82&lt;&gt;"",K82*I82/M82,"")))</f>
        <v>0.0941176470588235</v>
      </c>
      <c r="O82" s="18" t="str">
        <f aca="false">IF(N82="","",IF(N82&lt;FoodClasses!$C$2,"lean",IF(N82&lt;FoodClasses!$C$3,"medium","fatty")))</f>
        <v>medium</v>
      </c>
      <c r="P82" s="11" t="s">
        <v>797</v>
      </c>
      <c r="Q82" s="11" t="s">
        <v>577</v>
      </c>
      <c r="R82" s="11" t="s">
        <v>177</v>
      </c>
      <c r="S82" s="10" t="s">
        <v>1268</v>
      </c>
      <c r="T82" s="11"/>
      <c r="U82" s="10" t="s">
        <v>848</v>
      </c>
      <c r="V82" s="10" t="s">
        <v>801</v>
      </c>
      <c r="W82" s="10" t="s">
        <v>1400</v>
      </c>
      <c r="X82" s="10" t="s">
        <v>1401</v>
      </c>
      <c r="Y82" s="10" t="s">
        <v>1402</v>
      </c>
      <c r="Z82" s="10" t="s">
        <v>1403</v>
      </c>
      <c r="AA82" s="10" t="s">
        <v>1404</v>
      </c>
      <c r="AB82" s="10" t="s">
        <v>1405</v>
      </c>
    </row>
    <row r="83" customFormat="false" ht="57.45" hidden="false" customHeight="false" outlineLevel="0" collapsed="false">
      <c r="A83" s="10" t="s">
        <v>1406</v>
      </c>
      <c r="B83" s="10" t="s">
        <v>1407</v>
      </c>
      <c r="C83" s="10" t="s">
        <v>1408</v>
      </c>
      <c r="D83" s="10"/>
      <c r="E83" s="10" t="s">
        <v>796</v>
      </c>
      <c r="F83" s="11" t="n">
        <v>9</v>
      </c>
      <c r="G83" s="11"/>
      <c r="H83" s="18" t="n">
        <f aca="false">IF(G83&lt;&gt;"",G83,IF(F83&lt;&gt;"",ROUND(F83*28.3495,0),""))</f>
        <v>255</v>
      </c>
      <c r="I83" s="11" t="n">
        <v>1</v>
      </c>
      <c r="J83" s="11"/>
      <c r="K83" s="11" t="n">
        <v>9</v>
      </c>
      <c r="L83" s="11" t="n">
        <v>0</v>
      </c>
      <c r="M83" s="18" t="n">
        <f aca="false">IF(H83="","",H83+L83)</f>
        <v>255</v>
      </c>
      <c r="N83" s="23" t="n">
        <f aca="false">IF(OR(K83="",M83=""),"",IF(J83&lt;&gt;"",K83/J83*H83/M83,IF(I83&lt;&gt;"",K83*I83/M83,"")))</f>
        <v>0.0352941176470588</v>
      </c>
      <c r="O83" s="18" t="str">
        <f aca="false">IF(N83="","",IF(N83&lt;FoodClasses!$C$2,"lean",IF(N83&lt;FoodClasses!$C$3,"medium","fatty")))</f>
        <v>medium</v>
      </c>
      <c r="P83" s="11" t="s">
        <v>797</v>
      </c>
      <c r="Q83" s="11" t="s">
        <v>494</v>
      </c>
      <c r="R83" s="24" t="s">
        <v>798</v>
      </c>
      <c r="S83" s="10" t="s">
        <v>1102</v>
      </c>
      <c r="T83" s="11" t="n">
        <v>1100</v>
      </c>
      <c r="U83" s="10" t="s">
        <v>800</v>
      </c>
      <c r="V83" s="10" t="s">
        <v>801</v>
      </c>
      <c r="W83" s="10" t="s">
        <v>1409</v>
      </c>
      <c r="X83" s="10" t="s">
        <v>1410</v>
      </c>
      <c r="Y83" s="10"/>
      <c r="Z83" s="10" t="s">
        <v>1411</v>
      </c>
      <c r="AA83" s="10" t="s">
        <v>1412</v>
      </c>
      <c r="AB83" s="10" t="s">
        <v>1413</v>
      </c>
    </row>
    <row r="84" customFormat="false" ht="68.65" hidden="false" customHeight="false" outlineLevel="0" collapsed="false">
      <c r="A84" s="10" t="s">
        <v>1414</v>
      </c>
      <c r="B84" s="10" t="s">
        <v>1027</v>
      </c>
      <c r="C84" s="10" t="s">
        <v>1415</v>
      </c>
      <c r="D84" s="10" t="s">
        <v>1416</v>
      </c>
      <c r="E84" s="10" t="s">
        <v>528</v>
      </c>
      <c r="F84" s="11" t="n">
        <v>8.8</v>
      </c>
      <c r="G84" s="11"/>
      <c r="H84" s="18" t="n">
        <f aca="false">IF(G84&lt;&gt;"",G84,IF(F84&lt;&gt;"",ROUND(F84*28.3495,0),""))</f>
        <v>249</v>
      </c>
      <c r="I84" s="11"/>
      <c r="J84" s="11"/>
      <c r="K84" s="11" t="n">
        <v>3</v>
      </c>
      <c r="L84" s="11" t="n">
        <v>0</v>
      </c>
      <c r="M84" s="18" t="n">
        <f aca="false">IF(H84="","",H84+L84)</f>
        <v>249</v>
      </c>
      <c r="N84" s="23" t="str">
        <f aca="false">IF(OR(K84="",M84=""),"",IF(J84&lt;&gt;"",K84/J84*H84/M84,IF(I84&lt;&gt;"",K84*I84/M84,"")))</f>
        <v/>
      </c>
      <c r="O84" s="18" t="str">
        <f aca="false">IF(N84="","",IF(N84&lt;FoodClasses!$C$2,"lean",IF(N84&lt;FoodClasses!$C$3,"medium","fatty")))</f>
        <v/>
      </c>
      <c r="P84" s="11" t="s">
        <v>920</v>
      </c>
      <c r="Q84" s="11" t="s">
        <v>528</v>
      </c>
      <c r="R84" s="11" t="s">
        <v>177</v>
      </c>
      <c r="S84" s="10" t="s">
        <v>1417</v>
      </c>
      <c r="T84" s="11"/>
      <c r="U84" s="10" t="s">
        <v>848</v>
      </c>
      <c r="V84" s="10" t="s">
        <v>801</v>
      </c>
      <c r="W84" s="10" t="s">
        <v>1418</v>
      </c>
      <c r="X84" s="10"/>
      <c r="Y84" s="10"/>
      <c r="Z84" s="10" t="s">
        <v>1419</v>
      </c>
      <c r="AA84" s="10" t="s">
        <v>1420</v>
      </c>
      <c r="AB84" s="10" t="s">
        <v>1421</v>
      </c>
    </row>
    <row r="85" customFormat="false" ht="57.45" hidden="false" customHeight="false" outlineLevel="0" collapsed="false">
      <c r="A85" s="10" t="s">
        <v>1422</v>
      </c>
      <c r="B85" s="10" t="s">
        <v>1027</v>
      </c>
      <c r="C85" s="10" t="s">
        <v>1423</v>
      </c>
      <c r="D85" s="10"/>
      <c r="E85" s="10" t="s">
        <v>528</v>
      </c>
      <c r="F85" s="11" t="n">
        <v>8.8</v>
      </c>
      <c r="G85" s="11"/>
      <c r="H85" s="18" t="n">
        <f aca="false">IF(G85&lt;&gt;"",G85,IF(F85&lt;&gt;"",ROUND(F85*28.3495,0),""))</f>
        <v>249</v>
      </c>
      <c r="I85" s="11"/>
      <c r="J85" s="11" t="n">
        <v>140</v>
      </c>
      <c r="K85" s="11" t="n">
        <v>3</v>
      </c>
      <c r="L85" s="11" t="n">
        <v>0</v>
      </c>
      <c r="M85" s="18" t="n">
        <f aca="false">IF(H85="","",H85+L85)</f>
        <v>249</v>
      </c>
      <c r="N85" s="23" t="n">
        <f aca="false">IF(OR(K85="",M85=""),"",IF(J85&lt;&gt;"",K85/J85*H85/M85,IF(I85&lt;&gt;"",K85*I85/M85,"")))</f>
        <v>0.0214285714285714</v>
      </c>
      <c r="O85" s="18" t="str">
        <f aca="false">IF(N85="","",IF(N85&lt;FoodClasses!$C$2,"lean",IF(N85&lt;FoodClasses!$C$3,"medium","fatty")))</f>
        <v>lean</v>
      </c>
      <c r="P85" s="11" t="s">
        <v>920</v>
      </c>
      <c r="Q85" s="11" t="s">
        <v>528</v>
      </c>
      <c r="R85" s="11" t="s">
        <v>177</v>
      </c>
      <c r="S85" s="10" t="s">
        <v>1417</v>
      </c>
      <c r="T85" s="11"/>
      <c r="U85" s="10" t="s">
        <v>848</v>
      </c>
      <c r="V85" s="10" t="s">
        <v>801</v>
      </c>
      <c r="W85" s="10" t="s">
        <v>1418</v>
      </c>
      <c r="X85" s="10"/>
      <c r="Y85" s="10"/>
      <c r="Z85" s="10" t="s">
        <v>1424</v>
      </c>
      <c r="AA85" s="10" t="s">
        <v>1425</v>
      </c>
      <c r="AB85" s="10" t="s">
        <v>1426</v>
      </c>
    </row>
    <row r="86" customFormat="false" ht="35.05" hidden="false" customHeight="false" outlineLevel="0" collapsed="false">
      <c r="A86" s="10" t="s">
        <v>1427</v>
      </c>
      <c r="B86" s="10" t="s">
        <v>1027</v>
      </c>
      <c r="C86" s="10" t="s">
        <v>1428</v>
      </c>
      <c r="D86" s="10"/>
      <c r="E86" s="10" t="s">
        <v>528</v>
      </c>
      <c r="F86" s="11" t="n">
        <v>8.8</v>
      </c>
      <c r="G86" s="11"/>
      <c r="H86" s="18" t="n">
        <f aca="false">IF(G86&lt;&gt;"",G86,IF(F86&lt;&gt;"",ROUND(F86*28.3495,0),""))</f>
        <v>249</v>
      </c>
      <c r="I86" s="11"/>
      <c r="J86" s="11" t="n">
        <v>145</v>
      </c>
      <c r="K86" s="11" t="n">
        <v>3</v>
      </c>
      <c r="L86" s="11" t="n">
        <v>0</v>
      </c>
      <c r="M86" s="18" t="n">
        <f aca="false">IF(H86="","",H86+L86)</f>
        <v>249</v>
      </c>
      <c r="N86" s="23" t="n">
        <f aca="false">IF(OR(K86="",M86=""),"",IF(J86&lt;&gt;"",K86/J86*H86/M86,IF(I86&lt;&gt;"",K86*I86/M86,"")))</f>
        <v>0.0206896551724138</v>
      </c>
      <c r="O86" s="18" t="str">
        <f aca="false">IF(N86="","",IF(N86&lt;FoodClasses!$C$2,"lean",IF(N86&lt;FoodClasses!$C$3,"medium","fatty")))</f>
        <v>lean</v>
      </c>
      <c r="P86" s="11" t="s">
        <v>920</v>
      </c>
      <c r="Q86" s="11" t="s">
        <v>528</v>
      </c>
      <c r="R86" s="11" t="s">
        <v>177</v>
      </c>
      <c r="S86" s="10" t="s">
        <v>1417</v>
      </c>
      <c r="T86" s="11"/>
      <c r="U86" s="10" t="s">
        <v>848</v>
      </c>
      <c r="V86" s="10" t="s">
        <v>801</v>
      </c>
      <c r="W86" s="10"/>
      <c r="X86" s="10"/>
      <c r="Y86" s="10"/>
      <c r="Z86" s="10" t="s">
        <v>1429</v>
      </c>
      <c r="AA86" s="10" t="s">
        <v>1430</v>
      </c>
      <c r="AB86" s="10" t="s">
        <v>1431</v>
      </c>
    </row>
    <row r="87" customFormat="false" ht="68.65" hidden="false" customHeight="false" outlineLevel="0" collapsed="false">
      <c r="A87" s="10" t="s">
        <v>1432</v>
      </c>
      <c r="B87" s="10" t="s">
        <v>1433</v>
      </c>
      <c r="C87" s="10" t="s">
        <v>1434</v>
      </c>
      <c r="D87" s="10"/>
      <c r="E87" s="10" t="s">
        <v>919</v>
      </c>
      <c r="F87" s="11" t="n">
        <v>8.8</v>
      </c>
      <c r="G87" s="11"/>
      <c r="H87" s="18" t="n">
        <f aca="false">IF(G87&lt;&gt;"",G87,IF(F87&lt;&gt;"",ROUND(F87*28.3495,0),""))</f>
        <v>249</v>
      </c>
      <c r="I87" s="11" t="n">
        <v>2</v>
      </c>
      <c r="J87" s="11"/>
      <c r="K87" s="11" t="n">
        <v>2.5</v>
      </c>
      <c r="L87" s="11" t="n">
        <v>0</v>
      </c>
      <c r="M87" s="18" t="n">
        <f aca="false">IF(H87="","",H87+L87)</f>
        <v>249</v>
      </c>
      <c r="N87" s="23" t="n">
        <f aca="false">IF(OR(K87="",M87=""),"",IF(J87&lt;&gt;"",K87/J87*H87/M87,IF(I87&lt;&gt;"",K87*I87/M87,"")))</f>
        <v>0.0200803212851406</v>
      </c>
      <c r="O87" s="18" t="str">
        <f aca="false">IF(N87="","",IF(N87&lt;FoodClasses!$C$2,"lean",IF(N87&lt;FoodClasses!$C$3,"medium","fatty")))</f>
        <v>lean</v>
      </c>
      <c r="P87" s="11" t="s">
        <v>920</v>
      </c>
      <c r="Q87" s="11" t="s">
        <v>494</v>
      </c>
      <c r="R87" s="11" t="s">
        <v>177</v>
      </c>
      <c r="S87" s="10" t="s">
        <v>1435</v>
      </c>
      <c r="T87" s="11"/>
      <c r="U87" s="10" t="s">
        <v>848</v>
      </c>
      <c r="V87" s="10" t="s">
        <v>801</v>
      </c>
      <c r="W87" s="10" t="s">
        <v>1436</v>
      </c>
      <c r="X87" s="10"/>
      <c r="Y87" s="10"/>
      <c r="Z87" s="10" t="s">
        <v>1437</v>
      </c>
      <c r="AA87" s="10" t="s">
        <v>1438</v>
      </c>
      <c r="AB87" s="10" t="s">
        <v>1439</v>
      </c>
    </row>
    <row r="88" customFormat="false" ht="68.65" hidden="false" customHeight="false" outlineLevel="0" collapsed="false">
      <c r="A88" s="10" t="s">
        <v>1440</v>
      </c>
      <c r="B88" s="10" t="s">
        <v>1433</v>
      </c>
      <c r="C88" s="10" t="s">
        <v>1441</v>
      </c>
      <c r="D88" s="10"/>
      <c r="E88" s="10" t="s">
        <v>919</v>
      </c>
      <c r="F88" s="11"/>
      <c r="G88" s="11"/>
      <c r="H88" s="18" t="str">
        <f aca="false">IF(G88&lt;&gt;"",G88,IF(F88&lt;&gt;"",ROUND(F88*28.3495,0),""))</f>
        <v/>
      </c>
      <c r="I88" s="11" t="n">
        <v>2</v>
      </c>
      <c r="J88" s="11"/>
      <c r="K88" s="11"/>
      <c r="L88" s="11" t="n">
        <v>0</v>
      </c>
      <c r="M88" s="18" t="str">
        <f aca="false">IF(H88="","",H88+L88)</f>
        <v/>
      </c>
      <c r="N88" s="23" t="str">
        <f aca="false">IF(OR(K88="",M88=""),"",IF(J88&lt;&gt;"",K88/J88*H88/M88,IF(I88&lt;&gt;"",K88*I88/M88,"")))</f>
        <v/>
      </c>
      <c r="O88" s="18" t="str">
        <f aca="false">IF(N88="","",IF(N88&lt;FoodClasses!$C$2,"lean",IF(N88&lt;FoodClasses!$C$3,"medium","fatty")))</f>
        <v/>
      </c>
      <c r="P88" s="11" t="s">
        <v>920</v>
      </c>
      <c r="Q88" s="11" t="s">
        <v>494</v>
      </c>
      <c r="R88" s="11" t="s">
        <v>177</v>
      </c>
      <c r="S88" s="10" t="s">
        <v>1435</v>
      </c>
      <c r="T88" s="11"/>
      <c r="U88" s="10" t="s">
        <v>848</v>
      </c>
      <c r="V88" s="10" t="s">
        <v>801</v>
      </c>
      <c r="W88" s="10"/>
      <c r="X88" s="10"/>
      <c r="Y88" s="10"/>
      <c r="Z88" s="10" t="s">
        <v>1442</v>
      </c>
      <c r="AA88" s="10" t="s">
        <v>1443</v>
      </c>
      <c r="AB88" s="10" t="s">
        <v>1444</v>
      </c>
    </row>
    <row r="89" customFormat="false" ht="68.65" hidden="false" customHeight="false" outlineLevel="0" collapsed="false">
      <c r="A89" s="10" t="s">
        <v>1445</v>
      </c>
      <c r="B89" s="10" t="s">
        <v>1446</v>
      </c>
      <c r="C89" s="10" t="s">
        <v>1447</v>
      </c>
      <c r="D89" s="10"/>
      <c r="E89" s="10" t="s">
        <v>528</v>
      </c>
      <c r="F89" s="11" t="n">
        <v>8.5</v>
      </c>
      <c r="G89" s="11"/>
      <c r="H89" s="18" t="n">
        <f aca="false">IF(G89&lt;&gt;"",G89,IF(F89&lt;&gt;"",ROUND(F89*28.3495,0),""))</f>
        <v>241</v>
      </c>
      <c r="I89" s="11" t="n">
        <v>2</v>
      </c>
      <c r="J89" s="11"/>
      <c r="K89" s="11" t="n">
        <v>4.5</v>
      </c>
      <c r="L89" s="11" t="n">
        <v>0</v>
      </c>
      <c r="M89" s="18" t="n">
        <f aca="false">IF(H89="","",H89+L89)</f>
        <v>241</v>
      </c>
      <c r="N89" s="23" t="n">
        <f aca="false">IF(OR(K89="",M89=""),"",IF(J89&lt;&gt;"",K89/J89*H89/M89,IF(I89&lt;&gt;"",K89*I89/M89,"")))</f>
        <v>0.037344398340249</v>
      </c>
      <c r="O89" s="18" t="str">
        <f aca="false">IF(N89="","",IF(N89&lt;FoodClasses!$C$2,"lean",IF(N89&lt;FoodClasses!$C$3,"medium","fatty")))</f>
        <v>medium</v>
      </c>
      <c r="P89" s="11" t="s">
        <v>920</v>
      </c>
      <c r="Q89" s="11" t="s">
        <v>528</v>
      </c>
      <c r="R89" s="11" t="s">
        <v>177</v>
      </c>
      <c r="S89" s="10" t="s">
        <v>1417</v>
      </c>
      <c r="T89" s="11"/>
      <c r="U89" s="10" t="s">
        <v>848</v>
      </c>
      <c r="V89" s="10" t="s">
        <v>801</v>
      </c>
      <c r="W89" s="10"/>
      <c r="X89" s="10"/>
      <c r="Y89" s="10"/>
      <c r="Z89" s="10" t="s">
        <v>1448</v>
      </c>
      <c r="AA89" s="10" t="s">
        <v>1449</v>
      </c>
      <c r="AB89" s="10" t="s">
        <v>1450</v>
      </c>
    </row>
    <row r="90" customFormat="false" ht="35.05" hidden="false" customHeight="false" outlineLevel="0" collapsed="false">
      <c r="A90" s="10" t="s">
        <v>1451</v>
      </c>
      <c r="B90" s="10" t="s">
        <v>1446</v>
      </c>
      <c r="C90" s="10" t="s">
        <v>1452</v>
      </c>
      <c r="D90" s="10" t="s">
        <v>1453</v>
      </c>
      <c r="E90" s="10" t="s">
        <v>528</v>
      </c>
      <c r="F90" s="11" t="n">
        <v>8.5</v>
      </c>
      <c r="G90" s="11"/>
      <c r="H90" s="18" t="n">
        <f aca="false">IF(G90&lt;&gt;"",G90,IF(F90&lt;&gt;"",ROUND(F90*28.3495,0),""))</f>
        <v>241</v>
      </c>
      <c r="I90" s="11"/>
      <c r="J90" s="11" t="n">
        <v>240</v>
      </c>
      <c r="K90" s="11" t="n">
        <v>7</v>
      </c>
      <c r="L90" s="11" t="n">
        <v>0</v>
      </c>
      <c r="M90" s="18" t="n">
        <f aca="false">IF(H90="","",H90+L90)</f>
        <v>241</v>
      </c>
      <c r="N90" s="23" t="n">
        <f aca="false">IF(OR(K90="",M90=""),"",IF(J90&lt;&gt;"",K90/J90*H90/M90,IF(I90&lt;&gt;"",K90*I90/M90,"")))</f>
        <v>0.0291666666666667</v>
      </c>
      <c r="O90" s="18" t="str">
        <f aca="false">IF(N90="","",IF(N90&lt;FoodClasses!$C$2,"lean",IF(N90&lt;FoodClasses!$C$3,"medium","fatty")))</f>
        <v>lean</v>
      </c>
      <c r="P90" s="11" t="s">
        <v>920</v>
      </c>
      <c r="Q90" s="11" t="s">
        <v>528</v>
      </c>
      <c r="R90" s="11" t="s">
        <v>177</v>
      </c>
      <c r="S90" s="10" t="s">
        <v>1417</v>
      </c>
      <c r="T90" s="11"/>
      <c r="U90" s="10" t="s">
        <v>848</v>
      </c>
      <c r="V90" s="10" t="s">
        <v>801</v>
      </c>
      <c r="W90" s="10"/>
      <c r="X90" s="10"/>
      <c r="Y90" s="10"/>
      <c r="Z90" s="10" t="s">
        <v>1454</v>
      </c>
      <c r="AA90" s="10" t="s">
        <v>1455</v>
      </c>
      <c r="AB90" s="10" t="s">
        <v>1456</v>
      </c>
    </row>
    <row r="91" customFormat="false" ht="91" hidden="false" customHeight="false" outlineLevel="0" collapsed="false">
      <c r="A91" s="10" t="s">
        <v>1457</v>
      </c>
      <c r="B91" s="10" t="s">
        <v>1458</v>
      </c>
      <c r="C91" s="10" t="s">
        <v>1459</v>
      </c>
      <c r="D91" s="10"/>
      <c r="E91" s="10" t="s">
        <v>528</v>
      </c>
      <c r="F91" s="11" t="n">
        <v>14</v>
      </c>
      <c r="G91" s="11"/>
      <c r="H91" s="18" t="n">
        <f aca="false">IF(G91&lt;&gt;"",G91,IF(F91&lt;&gt;"",ROUND(F91*28.3495,0),""))</f>
        <v>397</v>
      </c>
      <c r="I91" s="11" t="n">
        <v>8</v>
      </c>
      <c r="J91" s="11"/>
      <c r="K91" s="11" t="n">
        <v>0</v>
      </c>
      <c r="L91" s="11" t="n">
        <v>0</v>
      </c>
      <c r="M91" s="18" t="n">
        <f aca="false">IF(H91="","",H91+L91)</f>
        <v>397</v>
      </c>
      <c r="N91" s="23" t="n">
        <f aca="false">IF(OR(K91="",M91=""),"",IF(J91&lt;&gt;"",K91/J91*H91/M91,IF(I91&lt;&gt;"",K91*I91/M91,"")))</f>
        <v>0</v>
      </c>
      <c r="O91" s="18" t="str">
        <f aca="false">IF(N91="","",IF(N91&lt;FoodClasses!$C$2,"lean",IF(N91&lt;FoodClasses!$C$3,"medium","fatty")))</f>
        <v>lean</v>
      </c>
      <c r="P91" s="11" t="s">
        <v>920</v>
      </c>
      <c r="Q91" s="11" t="s">
        <v>528</v>
      </c>
      <c r="R91" s="11" t="s">
        <v>177</v>
      </c>
      <c r="S91" s="10" t="s">
        <v>1417</v>
      </c>
      <c r="T91" s="11"/>
      <c r="U91" s="10" t="s">
        <v>848</v>
      </c>
      <c r="V91" s="10" t="s">
        <v>801</v>
      </c>
      <c r="W91" s="10" t="s">
        <v>1460</v>
      </c>
      <c r="X91" s="10" t="s">
        <v>1461</v>
      </c>
      <c r="Y91" s="10"/>
      <c r="Z91" s="10" t="s">
        <v>1462</v>
      </c>
      <c r="AA91" s="10" t="s">
        <v>1463</v>
      </c>
      <c r="AB91" s="10" t="s">
        <v>1464</v>
      </c>
    </row>
    <row r="92" customFormat="false" ht="57.45" hidden="false" customHeight="false" outlineLevel="0" collapsed="false">
      <c r="A92" s="10" t="s">
        <v>1465</v>
      </c>
      <c r="B92" s="10" t="s">
        <v>1466</v>
      </c>
      <c r="C92" s="10" t="s">
        <v>1467</v>
      </c>
      <c r="D92" s="10"/>
      <c r="E92" s="10" t="s">
        <v>919</v>
      </c>
      <c r="F92" s="11" t="n">
        <v>1.5</v>
      </c>
      <c r="G92" s="11"/>
      <c r="H92" s="18" t="n">
        <f aca="false">IF(G92&lt;&gt;"",G92,IF(F92&lt;&gt;"",ROUND(F92*28.3495,0),""))</f>
        <v>43</v>
      </c>
      <c r="I92" s="11" t="n">
        <v>1</v>
      </c>
      <c r="J92" s="11"/>
      <c r="K92" s="11" t="n">
        <v>4</v>
      </c>
      <c r="L92" s="24" t="n">
        <v>177</v>
      </c>
      <c r="M92" s="18" t="n">
        <f aca="false">IF(H92="","",H92+L92)</f>
        <v>220</v>
      </c>
      <c r="N92" s="23" t="n">
        <f aca="false">IF(OR(K92="",M92=""),"",IF(J92&lt;&gt;"",K92/J92*H92/M92,IF(I92&lt;&gt;"",K92*I92/M92,"")))</f>
        <v>0.0181818181818182</v>
      </c>
      <c r="O92" s="18" t="str">
        <f aca="false">IF(N92="","",IF(N92&lt;FoodClasses!$C$2,"lean",IF(N92&lt;FoodClasses!$C$3,"medium","fatty")))</f>
        <v>lean</v>
      </c>
      <c r="P92" s="11" t="s">
        <v>920</v>
      </c>
      <c r="Q92" s="11" t="s">
        <v>494</v>
      </c>
      <c r="R92" s="25" t="s">
        <v>811</v>
      </c>
      <c r="S92" s="10" t="s">
        <v>1468</v>
      </c>
      <c r="T92" s="11" t="n">
        <v>1100</v>
      </c>
      <c r="U92" s="10" t="s">
        <v>800</v>
      </c>
      <c r="V92" s="10" t="s">
        <v>801</v>
      </c>
      <c r="W92" s="10" t="s">
        <v>823</v>
      </c>
      <c r="X92" s="10" t="s">
        <v>1469</v>
      </c>
      <c r="Y92" s="10"/>
      <c r="Z92" s="10" t="s">
        <v>1470</v>
      </c>
      <c r="AA92" s="10" t="s">
        <v>1471</v>
      </c>
      <c r="AB92" s="10" t="s">
        <v>1472</v>
      </c>
    </row>
    <row r="93" customFormat="false" ht="57.45" hidden="false" customHeight="false" outlineLevel="0" collapsed="false">
      <c r="A93" s="10" t="s">
        <v>1473</v>
      </c>
      <c r="B93" s="10" t="s">
        <v>1466</v>
      </c>
      <c r="C93" s="10" t="s">
        <v>1474</v>
      </c>
      <c r="D93" s="10"/>
      <c r="E93" s="10" t="s">
        <v>919</v>
      </c>
      <c r="F93" s="11" t="n">
        <v>1.5</v>
      </c>
      <c r="G93" s="11"/>
      <c r="H93" s="18" t="n">
        <f aca="false">IF(G93&lt;&gt;"",G93,IF(F93&lt;&gt;"",ROUND(F93*28.3495,0),""))</f>
        <v>43</v>
      </c>
      <c r="I93" s="11"/>
      <c r="J93" s="11"/>
      <c r="K93" s="11"/>
      <c r="L93" s="24" t="n">
        <v>177</v>
      </c>
      <c r="M93" s="18" t="n">
        <f aca="false">IF(H93="","",H93+L93)</f>
        <v>220</v>
      </c>
      <c r="N93" s="23" t="str">
        <f aca="false">IF(OR(K93="",M93=""),"",IF(J93&lt;&gt;"",K93/J93*H93/M93,IF(I93&lt;&gt;"",K93*I93/M93,"")))</f>
        <v/>
      </c>
      <c r="O93" s="18" t="str">
        <f aca="false">IF(N93="","",IF(N93&lt;FoodClasses!$C$2,"lean",IF(N93&lt;FoodClasses!$C$3,"medium","fatty")))</f>
        <v/>
      </c>
      <c r="P93" s="11" t="s">
        <v>920</v>
      </c>
      <c r="Q93" s="11" t="s">
        <v>494</v>
      </c>
      <c r="R93" s="25" t="s">
        <v>811</v>
      </c>
      <c r="S93" s="10" t="s">
        <v>1468</v>
      </c>
      <c r="T93" s="11"/>
      <c r="U93" s="10" t="s">
        <v>848</v>
      </c>
      <c r="V93" s="10" t="s">
        <v>801</v>
      </c>
      <c r="W93" s="10"/>
      <c r="X93" s="10"/>
      <c r="Y93" s="10"/>
      <c r="Z93" s="10" t="s">
        <v>1475</v>
      </c>
      <c r="AA93" s="10" t="s">
        <v>1476</v>
      </c>
      <c r="AB93" s="10" t="s">
        <v>1477</v>
      </c>
    </row>
    <row r="94" customFormat="false" ht="91" hidden="false" customHeight="false" outlineLevel="0" collapsed="false">
      <c r="A94" s="10" t="s">
        <v>1478</v>
      </c>
      <c r="B94" s="10" t="s">
        <v>1479</v>
      </c>
      <c r="C94" s="10" t="s">
        <v>1480</v>
      </c>
      <c r="D94" s="10" t="s">
        <v>1481</v>
      </c>
      <c r="E94" s="10" t="s">
        <v>796</v>
      </c>
      <c r="F94" s="11" t="n">
        <v>24</v>
      </c>
      <c r="G94" s="11"/>
      <c r="H94" s="18" t="n">
        <f aca="false">IF(G94&lt;&gt;"",G94,IF(F94&lt;&gt;"",ROUND(F94*28.3495,0),""))</f>
        <v>680</v>
      </c>
      <c r="I94" s="11"/>
      <c r="J94" s="11" t="n">
        <v>140</v>
      </c>
      <c r="K94" s="11" t="n">
        <v>7</v>
      </c>
      <c r="L94" s="11" t="n">
        <v>0</v>
      </c>
      <c r="M94" s="18" t="n">
        <f aca="false">IF(H94="","",H94+L94)</f>
        <v>680</v>
      </c>
      <c r="N94" s="23" t="n">
        <f aca="false">IF(OR(K94="",M94=""),"",IF(J94&lt;&gt;"",K94/J94*H94/M94,IF(I94&lt;&gt;"",K94*I94/M94,"")))</f>
        <v>0.05</v>
      </c>
      <c r="O94" s="18" t="str">
        <f aca="false">IF(N94="","",IF(N94&lt;FoodClasses!$C$2,"lean",IF(N94&lt;FoodClasses!$C$3,"medium","fatty")))</f>
        <v>medium</v>
      </c>
      <c r="P94" s="11" t="s">
        <v>1482</v>
      </c>
      <c r="Q94" s="11" t="s">
        <v>494</v>
      </c>
      <c r="R94" s="24" t="s">
        <v>798</v>
      </c>
      <c r="S94" s="10" t="s">
        <v>1483</v>
      </c>
      <c r="T94" s="11"/>
      <c r="U94" s="10" t="s">
        <v>848</v>
      </c>
      <c r="V94" s="10" t="s">
        <v>801</v>
      </c>
      <c r="W94" s="10" t="s">
        <v>1484</v>
      </c>
      <c r="X94" s="10"/>
      <c r="Y94" s="10"/>
      <c r="Z94" s="10" t="s">
        <v>1485</v>
      </c>
      <c r="AA94" s="10" t="s">
        <v>1486</v>
      </c>
      <c r="AB94" s="10" t="s">
        <v>1487</v>
      </c>
    </row>
    <row r="95" customFormat="false" ht="57.45" hidden="false" customHeight="false" outlineLevel="0" collapsed="false">
      <c r="A95" s="10" t="s">
        <v>1488</v>
      </c>
      <c r="B95" s="10" t="s">
        <v>1489</v>
      </c>
      <c r="C95" s="10" t="s">
        <v>1490</v>
      </c>
      <c r="D95" s="10"/>
      <c r="E95" s="10" t="s">
        <v>919</v>
      </c>
      <c r="F95" s="11"/>
      <c r="G95" s="11"/>
      <c r="H95" s="18" t="str">
        <f aca="false">IF(G95&lt;&gt;"",G95,IF(F95&lt;&gt;"",ROUND(F95*28.3495,0),""))</f>
        <v/>
      </c>
      <c r="I95" s="11"/>
      <c r="J95" s="11"/>
      <c r="K95" s="11"/>
      <c r="L95" s="24" t="n">
        <v>120</v>
      </c>
      <c r="M95" s="18" t="str">
        <f aca="false">IF(H95="","",H95+L95)</f>
        <v/>
      </c>
      <c r="N95" s="23" t="str">
        <f aca="false">IF(OR(K95="",M95=""),"",IF(J95&lt;&gt;"",K95/J95*H95/M95,IF(I95&lt;&gt;"",K95*I95/M95,"")))</f>
        <v/>
      </c>
      <c r="O95" s="18" t="str">
        <f aca="false">IF(N95="","",IF(N95&lt;FoodClasses!$C$2,"lean",IF(N95&lt;FoodClasses!$C$3,"medium","fatty")))</f>
        <v/>
      </c>
      <c r="P95" s="11" t="s">
        <v>920</v>
      </c>
      <c r="Q95" s="11" t="s">
        <v>494</v>
      </c>
      <c r="R95" s="25" t="s">
        <v>811</v>
      </c>
      <c r="S95" s="10" t="s">
        <v>1468</v>
      </c>
      <c r="T95" s="11"/>
      <c r="U95" s="10" t="s">
        <v>848</v>
      </c>
      <c r="V95" s="10" t="s">
        <v>801</v>
      </c>
      <c r="W95" s="10" t="s">
        <v>1491</v>
      </c>
      <c r="X95" s="10"/>
      <c r="Y95" s="10"/>
      <c r="Z95" s="10" t="s">
        <v>1492</v>
      </c>
      <c r="AA95" s="10" t="s">
        <v>1493</v>
      </c>
      <c r="AB95" s="10" t="s">
        <v>1494</v>
      </c>
    </row>
    <row r="96" customFormat="false" ht="113.4" hidden="false" customHeight="false" outlineLevel="0" collapsed="false">
      <c r="A96" s="10" t="s">
        <v>1495</v>
      </c>
      <c r="B96" s="10" t="s">
        <v>936</v>
      </c>
      <c r="C96" s="10" t="s">
        <v>1496</v>
      </c>
      <c r="D96" s="10"/>
      <c r="E96" s="10" t="s">
        <v>468</v>
      </c>
      <c r="F96" s="11" t="n">
        <v>2.25</v>
      </c>
      <c r="G96" s="11"/>
      <c r="H96" s="18" t="n">
        <f aca="false">IF(G96&lt;&gt;"",G96,IF(F96&lt;&gt;"",ROUND(F96*28.3495,0),""))</f>
        <v>64</v>
      </c>
      <c r="I96" s="11" t="n">
        <v>1</v>
      </c>
      <c r="J96" s="11"/>
      <c r="K96" s="11" t="n">
        <v>11</v>
      </c>
      <c r="L96" s="24" t="n">
        <v>300</v>
      </c>
      <c r="M96" s="18" t="n">
        <f aca="false">IF(H96="","",H96+L96)</f>
        <v>364</v>
      </c>
      <c r="N96" s="23" t="n">
        <f aca="false">IF(OR(K96="",M96=""),"",IF(J96&lt;&gt;"",K96/J96*H96/M96,IF(I96&lt;&gt;"",K96*I96/M96,"")))</f>
        <v>0.0302197802197802</v>
      </c>
      <c r="O96" s="18" t="str">
        <f aca="false">IF(N96="","",IF(N96&lt;FoodClasses!$C$2,"lean",IF(N96&lt;FoodClasses!$C$3,"medium","fatty")))</f>
        <v>medium</v>
      </c>
      <c r="P96" s="11" t="s">
        <v>920</v>
      </c>
      <c r="Q96" s="11" t="s">
        <v>468</v>
      </c>
      <c r="R96" s="11" t="s">
        <v>177</v>
      </c>
      <c r="S96" s="10" t="s">
        <v>1497</v>
      </c>
      <c r="T96" s="11"/>
      <c r="U96" s="10" t="s">
        <v>848</v>
      </c>
      <c r="V96" s="10" t="s">
        <v>801</v>
      </c>
      <c r="W96" s="10"/>
      <c r="X96" s="10"/>
      <c r="Y96" s="10"/>
      <c r="Z96" s="10" t="s">
        <v>1498</v>
      </c>
      <c r="AA96" s="10" t="s">
        <v>1499</v>
      </c>
      <c r="AB96" s="10" t="s">
        <v>1500</v>
      </c>
    </row>
    <row r="97" customFormat="false" ht="79.85" hidden="false" customHeight="false" outlineLevel="0" collapsed="false">
      <c r="A97" s="10" t="s">
        <v>1501</v>
      </c>
      <c r="B97" s="10" t="s">
        <v>927</v>
      </c>
      <c r="C97" s="10" t="s">
        <v>1502</v>
      </c>
      <c r="D97" s="10"/>
      <c r="E97" s="10" t="s">
        <v>919</v>
      </c>
      <c r="F97" s="11" t="n">
        <v>3.32</v>
      </c>
      <c r="G97" s="11"/>
      <c r="H97" s="18" t="n">
        <f aca="false">IF(G97&lt;&gt;"",G97,IF(F97&lt;&gt;"",ROUND(F97*28.3495,0),""))</f>
        <v>94</v>
      </c>
      <c r="I97" s="11"/>
      <c r="J97" s="11"/>
      <c r="K97" s="11"/>
      <c r="L97" s="24" t="n">
        <v>400</v>
      </c>
      <c r="M97" s="18" t="n">
        <f aca="false">IF(H97="","",H97+L97)</f>
        <v>494</v>
      </c>
      <c r="N97" s="23" t="str">
        <f aca="false">IF(OR(K97="",M97=""),"",IF(J97&lt;&gt;"",K97/J97*H97/M97,IF(I97&lt;&gt;"",K97*I97/M97,"")))</f>
        <v/>
      </c>
      <c r="O97" s="18" t="str">
        <f aca="false">IF(N97="","",IF(N97&lt;FoodClasses!$C$2,"lean",IF(N97&lt;FoodClasses!$C$3,"medium","fatty")))</f>
        <v/>
      </c>
      <c r="P97" s="11" t="s">
        <v>920</v>
      </c>
      <c r="Q97" s="11" t="s">
        <v>494</v>
      </c>
      <c r="R97" s="25" t="s">
        <v>811</v>
      </c>
      <c r="S97" s="10" t="s">
        <v>1468</v>
      </c>
      <c r="T97" s="11"/>
      <c r="U97" s="10" t="s">
        <v>848</v>
      </c>
      <c r="V97" s="10" t="s">
        <v>801</v>
      </c>
      <c r="W97" s="10"/>
      <c r="X97" s="10"/>
      <c r="Y97" s="10"/>
      <c r="Z97" s="10" t="s">
        <v>1503</v>
      </c>
      <c r="AA97" s="10" t="s">
        <v>1504</v>
      </c>
      <c r="AB97" s="10" t="s">
        <v>1505</v>
      </c>
    </row>
    <row r="98" customFormat="false" ht="68.65" hidden="false" customHeight="false" outlineLevel="0" collapsed="false">
      <c r="A98" s="10" t="s">
        <v>1506</v>
      </c>
      <c r="B98" s="10" t="s">
        <v>943</v>
      </c>
      <c r="C98" s="10" t="s">
        <v>1507</v>
      </c>
      <c r="D98" s="10"/>
      <c r="E98" s="10" t="s">
        <v>919</v>
      </c>
      <c r="F98" s="11" t="n">
        <v>11.1</v>
      </c>
      <c r="G98" s="11"/>
      <c r="H98" s="18" t="n">
        <f aca="false">IF(G98&lt;&gt;"",G98,IF(F98&lt;&gt;"",ROUND(F98*28.3495,0),""))</f>
        <v>315</v>
      </c>
      <c r="I98" s="11"/>
      <c r="J98" s="11"/>
      <c r="K98" s="11" t="n">
        <v>0.5</v>
      </c>
      <c r="L98" s="11" t="n">
        <v>0</v>
      </c>
      <c r="M98" s="18" t="n">
        <f aca="false">IF(H98="","",H98+L98)</f>
        <v>315</v>
      </c>
      <c r="N98" s="23" t="str">
        <f aca="false">IF(OR(K98="",M98=""),"",IF(J98&lt;&gt;"",K98/J98*H98/M98,IF(I98&lt;&gt;"",K98*I98/M98,"")))</f>
        <v/>
      </c>
      <c r="O98" s="18" t="str">
        <f aca="false">IF(N98="","",IF(N98&lt;FoodClasses!$C$2,"lean",IF(N98&lt;FoodClasses!$C$3,"medium","fatty")))</f>
        <v/>
      </c>
      <c r="P98" s="11" t="s">
        <v>920</v>
      </c>
      <c r="Q98" s="11" t="s">
        <v>494</v>
      </c>
      <c r="R98" s="24" t="s">
        <v>798</v>
      </c>
      <c r="S98" s="10" t="s">
        <v>1347</v>
      </c>
      <c r="T98" s="11"/>
      <c r="U98" s="10" t="s">
        <v>848</v>
      </c>
      <c r="V98" s="10" t="s">
        <v>801</v>
      </c>
      <c r="W98" s="10" t="s">
        <v>1508</v>
      </c>
      <c r="X98" s="10"/>
      <c r="Y98" s="10"/>
      <c r="Z98" s="10" t="s">
        <v>1509</v>
      </c>
      <c r="AA98" s="10" t="s">
        <v>1510</v>
      </c>
      <c r="AB98" s="10" t="s">
        <v>1511</v>
      </c>
    </row>
    <row r="99" customFormat="false" ht="68.65" hidden="false" customHeight="false" outlineLevel="0" collapsed="false">
      <c r="A99" s="10" t="s">
        <v>1512</v>
      </c>
      <c r="B99" s="10" t="s">
        <v>943</v>
      </c>
      <c r="C99" s="10" t="s">
        <v>1513</v>
      </c>
      <c r="D99" s="10" t="s">
        <v>1514</v>
      </c>
      <c r="E99" s="10" t="s">
        <v>919</v>
      </c>
      <c r="F99" s="11" t="n">
        <v>10.75</v>
      </c>
      <c r="G99" s="11"/>
      <c r="H99" s="18" t="n">
        <f aca="false">IF(G99&lt;&gt;"",G99,IF(F99&lt;&gt;"",ROUND(F99*28.3495,0),""))</f>
        <v>305</v>
      </c>
      <c r="I99" s="11" t="n">
        <v>1</v>
      </c>
      <c r="J99" s="11"/>
      <c r="K99" s="11"/>
      <c r="L99" s="11" t="n">
        <v>0</v>
      </c>
      <c r="M99" s="18" t="n">
        <f aca="false">IF(H99="","",H99+L99)</f>
        <v>305</v>
      </c>
      <c r="N99" s="23" t="str">
        <f aca="false">IF(OR(K99="",M99=""),"",IF(J99&lt;&gt;"",K99/J99*H99/M99,IF(I99&lt;&gt;"",K99*I99/M99,"")))</f>
        <v/>
      </c>
      <c r="O99" s="18" t="str">
        <f aca="false">IF(N99="","",IF(N99&lt;FoodClasses!$C$2,"lean",IF(N99&lt;FoodClasses!$C$3,"medium","fatty")))</f>
        <v/>
      </c>
      <c r="P99" s="11" t="s">
        <v>920</v>
      </c>
      <c r="Q99" s="11" t="s">
        <v>494</v>
      </c>
      <c r="R99" s="24" t="s">
        <v>798</v>
      </c>
      <c r="S99" s="10" t="s">
        <v>1347</v>
      </c>
      <c r="T99" s="11"/>
      <c r="U99" s="10" t="s">
        <v>848</v>
      </c>
      <c r="V99" s="10" t="s">
        <v>801</v>
      </c>
      <c r="W99" s="10"/>
      <c r="X99" s="10"/>
      <c r="Y99" s="10"/>
      <c r="Z99" s="10" t="s">
        <v>1515</v>
      </c>
      <c r="AA99" s="10" t="s">
        <v>1516</v>
      </c>
      <c r="AB99" s="10" t="s">
        <v>1517</v>
      </c>
    </row>
    <row r="100" customFormat="false" ht="68.65" hidden="false" customHeight="false" outlineLevel="0" collapsed="false">
      <c r="A100" s="10" t="s">
        <v>1518</v>
      </c>
      <c r="B100" s="10" t="s">
        <v>1519</v>
      </c>
      <c r="C100" s="10" t="s">
        <v>1520</v>
      </c>
      <c r="D100" s="10"/>
      <c r="E100" s="10" t="s">
        <v>590</v>
      </c>
      <c r="F100" s="11"/>
      <c r="G100" s="11"/>
      <c r="H100" s="18" t="str">
        <f aca="false">IF(G100&lt;&gt;"",G100,IF(F100&lt;&gt;"",ROUND(F100*28.3495,0),""))</f>
        <v/>
      </c>
      <c r="I100" s="11"/>
      <c r="J100" s="11"/>
      <c r="K100" s="11"/>
      <c r="L100" s="11" t="n">
        <v>0</v>
      </c>
      <c r="M100" s="18" t="str">
        <f aca="false">IF(H100="","",H100+L100)</f>
        <v/>
      </c>
      <c r="N100" s="23" t="str">
        <f aca="false">IF(OR(K100="",M100=""),"",IF(J100&lt;&gt;"",K100/J100*H100/M100,IF(I100&lt;&gt;"",K100*I100/M100,"")))</f>
        <v/>
      </c>
      <c r="O100" s="18" t="str">
        <f aca="false">IF(N100="","",IF(N100&lt;FoodClasses!$C$2,"lean",IF(N100&lt;FoodClasses!$C$3,"medium","fatty")))</f>
        <v/>
      </c>
      <c r="P100" s="11" t="s">
        <v>920</v>
      </c>
      <c r="Q100" s="11" t="s">
        <v>590</v>
      </c>
      <c r="R100" s="11" t="s">
        <v>177</v>
      </c>
      <c r="S100" s="10" t="s">
        <v>1208</v>
      </c>
      <c r="T100" s="11"/>
      <c r="U100" s="10" t="s">
        <v>848</v>
      </c>
      <c r="V100" s="10" t="s">
        <v>801</v>
      </c>
      <c r="W100" s="10" t="s">
        <v>1521</v>
      </c>
      <c r="X100" s="10" t="s">
        <v>1522</v>
      </c>
      <c r="Y100" s="10"/>
      <c r="Z100" s="10" t="s">
        <v>1523</v>
      </c>
      <c r="AA100" s="10" t="s">
        <v>1524</v>
      </c>
      <c r="AB100" s="10" t="s">
        <v>1525</v>
      </c>
    </row>
    <row r="101" customFormat="false" ht="68.65" hidden="false" customHeight="false" outlineLevel="0" collapsed="false">
      <c r="A101" s="10" t="s">
        <v>1526</v>
      </c>
      <c r="B101" s="10" t="s">
        <v>1519</v>
      </c>
      <c r="C101" s="10" t="s">
        <v>1527</v>
      </c>
      <c r="D101" s="10"/>
      <c r="E101" s="10" t="s">
        <v>590</v>
      </c>
      <c r="F101" s="11"/>
      <c r="G101" s="11"/>
      <c r="H101" s="18" t="str">
        <f aca="false">IF(G101&lt;&gt;"",G101,IF(F101&lt;&gt;"",ROUND(F101*28.3495,0),""))</f>
        <v/>
      </c>
      <c r="I101" s="11"/>
      <c r="J101" s="11"/>
      <c r="K101" s="11"/>
      <c r="L101" s="11" t="n">
        <v>0</v>
      </c>
      <c r="M101" s="18" t="str">
        <f aca="false">IF(H101="","",H101+L101)</f>
        <v/>
      </c>
      <c r="N101" s="23" t="str">
        <f aca="false">IF(OR(K101="",M101=""),"",IF(J101&lt;&gt;"",K101/J101*H101/M101,IF(I101&lt;&gt;"",K101*I101/M101,"")))</f>
        <v/>
      </c>
      <c r="O101" s="18" t="str">
        <f aca="false">IF(N101="","",IF(N101&lt;FoodClasses!$C$2,"lean",IF(N101&lt;FoodClasses!$C$3,"medium","fatty")))</f>
        <v/>
      </c>
      <c r="P101" s="11" t="s">
        <v>920</v>
      </c>
      <c r="Q101" s="11" t="s">
        <v>590</v>
      </c>
      <c r="R101" s="11" t="s">
        <v>177</v>
      </c>
      <c r="S101" s="10" t="s">
        <v>1208</v>
      </c>
      <c r="T101" s="11"/>
      <c r="U101" s="10" t="s">
        <v>848</v>
      </c>
      <c r="V101" s="10" t="s">
        <v>801</v>
      </c>
      <c r="W101" s="10" t="s">
        <v>1521</v>
      </c>
      <c r="X101" s="10" t="s">
        <v>1522</v>
      </c>
      <c r="Y101" s="10"/>
      <c r="Z101" s="10" t="s">
        <v>1523</v>
      </c>
      <c r="AA101" s="10" t="s">
        <v>1524</v>
      </c>
      <c r="AB101" s="10" t="s">
        <v>1528</v>
      </c>
    </row>
    <row r="102" customFormat="false" ht="68.65" hidden="false" customHeight="false" outlineLevel="0" collapsed="false">
      <c r="A102" s="10" t="s">
        <v>1529</v>
      </c>
      <c r="B102" s="10" t="s">
        <v>1519</v>
      </c>
      <c r="C102" s="10" t="s">
        <v>1530</v>
      </c>
      <c r="D102" s="10"/>
      <c r="E102" s="10" t="s">
        <v>590</v>
      </c>
      <c r="F102" s="11"/>
      <c r="G102" s="11"/>
      <c r="H102" s="18" t="str">
        <f aca="false">IF(G102&lt;&gt;"",G102,IF(F102&lt;&gt;"",ROUND(F102*28.3495,0),""))</f>
        <v/>
      </c>
      <c r="I102" s="11"/>
      <c r="J102" s="11"/>
      <c r="K102" s="11"/>
      <c r="L102" s="11" t="n">
        <v>0</v>
      </c>
      <c r="M102" s="18" t="str">
        <f aca="false">IF(H102="","",H102+L102)</f>
        <v/>
      </c>
      <c r="N102" s="23" t="str">
        <f aca="false">IF(OR(K102="",M102=""),"",IF(J102&lt;&gt;"",K102/J102*H102/M102,IF(I102&lt;&gt;"",K102*I102/M102,"")))</f>
        <v/>
      </c>
      <c r="O102" s="18" t="str">
        <f aca="false">IF(N102="","",IF(N102&lt;FoodClasses!$C$2,"lean",IF(N102&lt;FoodClasses!$C$3,"medium","fatty")))</f>
        <v/>
      </c>
      <c r="P102" s="11" t="s">
        <v>920</v>
      </c>
      <c r="Q102" s="11" t="s">
        <v>590</v>
      </c>
      <c r="R102" s="11" t="s">
        <v>177</v>
      </c>
      <c r="S102" s="10" t="s">
        <v>1208</v>
      </c>
      <c r="T102" s="11"/>
      <c r="U102" s="10" t="s">
        <v>848</v>
      </c>
      <c r="V102" s="10" t="s">
        <v>801</v>
      </c>
      <c r="W102" s="10" t="s">
        <v>1521</v>
      </c>
      <c r="X102" s="10" t="s">
        <v>1522</v>
      </c>
      <c r="Y102" s="10"/>
      <c r="Z102" s="10" t="s">
        <v>1523</v>
      </c>
      <c r="AA102" s="10" t="s">
        <v>1524</v>
      </c>
      <c r="AB102" s="10" t="s">
        <v>1531</v>
      </c>
    </row>
    <row r="103" customFormat="false" ht="57.45" hidden="false" customHeight="false" outlineLevel="0" collapsed="false">
      <c r="A103" s="10" t="s">
        <v>1532</v>
      </c>
      <c r="B103" s="10" t="s">
        <v>981</v>
      </c>
      <c r="C103" s="10" t="s">
        <v>1533</v>
      </c>
      <c r="D103" s="10" t="s">
        <v>1534</v>
      </c>
      <c r="E103" s="10" t="s">
        <v>521</v>
      </c>
      <c r="F103" s="11" t="n">
        <v>10.8</v>
      </c>
      <c r="G103" s="11" t="n">
        <v>306</v>
      </c>
      <c r="H103" s="18" t="n">
        <f aca="false">IF(G103&lt;&gt;"",G103,IF(F103&lt;&gt;"",ROUND(F103*28.3495,0),""))</f>
        <v>306</v>
      </c>
      <c r="I103" s="11" t="n">
        <v>4</v>
      </c>
      <c r="J103" s="11" t="n">
        <v>83</v>
      </c>
      <c r="K103" s="11" t="n">
        <v>0</v>
      </c>
      <c r="L103" s="11" t="n">
        <v>0</v>
      </c>
      <c r="M103" s="18" t="n">
        <f aca="false">IF(H103="","",H103+L103)</f>
        <v>306</v>
      </c>
      <c r="N103" s="23" t="n">
        <f aca="false">IF(OR(K103="",M103=""),"",IF(J103&lt;&gt;"",K103/J103*H103/M103,IF(I103&lt;&gt;"",K103*I103/M103,"")))</f>
        <v>0</v>
      </c>
      <c r="O103" s="18" t="str">
        <f aca="false">IF(N103="","",IF(N103&lt;FoodClasses!$C$2,"lean",IF(N103&lt;FoodClasses!$C$3,"medium","fatty")))</f>
        <v>lean</v>
      </c>
      <c r="P103" s="11" t="s">
        <v>797</v>
      </c>
      <c r="Q103" s="11" t="s">
        <v>521</v>
      </c>
      <c r="R103" s="11" t="s">
        <v>177</v>
      </c>
      <c r="S103" s="10" t="s">
        <v>1171</v>
      </c>
      <c r="T103" s="11"/>
      <c r="U103" s="10" t="s">
        <v>800</v>
      </c>
      <c r="V103" s="10" t="s">
        <v>801</v>
      </c>
      <c r="W103" s="10" t="s">
        <v>985</v>
      </c>
      <c r="X103" s="10" t="s">
        <v>1535</v>
      </c>
      <c r="Y103" s="10"/>
      <c r="Z103" s="10" t="s">
        <v>1536</v>
      </c>
      <c r="AA103" s="10" t="s">
        <v>1537</v>
      </c>
      <c r="AB103" s="10" t="s">
        <v>1538</v>
      </c>
    </row>
    <row r="104" customFormat="false" ht="57.45" hidden="false" customHeight="false" outlineLevel="0" collapsed="false">
      <c r="A104" s="10" t="s">
        <v>1539</v>
      </c>
      <c r="B104" s="10" t="s">
        <v>981</v>
      </c>
      <c r="C104" s="10" t="s">
        <v>1540</v>
      </c>
      <c r="D104" s="10" t="s">
        <v>1541</v>
      </c>
      <c r="E104" s="10" t="s">
        <v>521</v>
      </c>
      <c r="F104" s="11" t="n">
        <v>10</v>
      </c>
      <c r="G104" s="11"/>
      <c r="H104" s="18" t="n">
        <f aca="false">IF(G104&lt;&gt;"",G104,IF(F104&lt;&gt;"",ROUND(F104*28.3495,0),""))</f>
        <v>283</v>
      </c>
      <c r="I104" s="11" t="n">
        <v>3</v>
      </c>
      <c r="J104" s="11" t="n">
        <v>88</v>
      </c>
      <c r="K104" s="11" t="n">
        <v>1</v>
      </c>
      <c r="L104" s="11" t="n">
        <v>0</v>
      </c>
      <c r="M104" s="18" t="n">
        <f aca="false">IF(H104="","",H104+L104)</f>
        <v>283</v>
      </c>
      <c r="N104" s="23" t="n">
        <f aca="false">IF(OR(K104="",M104=""),"",IF(J104&lt;&gt;"",K104/J104*H104/M104,IF(I104&lt;&gt;"",K104*I104/M104,"")))</f>
        <v>0.0113636363636364</v>
      </c>
      <c r="O104" s="18" t="str">
        <f aca="false">IF(N104="","",IF(N104&lt;FoodClasses!$C$2,"lean",IF(N104&lt;FoodClasses!$C$3,"medium","fatty")))</f>
        <v>lean</v>
      </c>
      <c r="P104" s="11" t="s">
        <v>797</v>
      </c>
      <c r="Q104" s="11" t="s">
        <v>521</v>
      </c>
      <c r="R104" s="11" t="s">
        <v>177</v>
      </c>
      <c r="S104" s="10" t="s">
        <v>1171</v>
      </c>
      <c r="T104" s="11"/>
      <c r="U104" s="10" t="s">
        <v>800</v>
      </c>
      <c r="V104" s="10" t="s">
        <v>801</v>
      </c>
      <c r="W104" s="10" t="s">
        <v>985</v>
      </c>
      <c r="X104" s="10" t="s">
        <v>1542</v>
      </c>
      <c r="Y104" s="10"/>
      <c r="Z104" s="10" t="s">
        <v>1543</v>
      </c>
      <c r="AA104" s="10" t="s">
        <v>1544</v>
      </c>
      <c r="AB104" s="10" t="s">
        <v>1545</v>
      </c>
    </row>
    <row r="105" customFormat="false" ht="46.25" hidden="false" customHeight="false" outlineLevel="0" collapsed="false">
      <c r="A105" s="10" t="s">
        <v>1546</v>
      </c>
      <c r="B105" s="10" t="s">
        <v>981</v>
      </c>
      <c r="C105" s="10" t="s">
        <v>1547</v>
      </c>
      <c r="D105" s="10"/>
      <c r="E105" s="10" t="s">
        <v>521</v>
      </c>
      <c r="F105" s="11" t="n">
        <v>19</v>
      </c>
      <c r="G105" s="11"/>
      <c r="H105" s="18" t="n">
        <f aca="false">IF(G105&lt;&gt;"",G105,IF(F105&lt;&gt;"",ROUND(F105*28.3495,0),""))</f>
        <v>539</v>
      </c>
      <c r="I105" s="11"/>
      <c r="J105" s="11"/>
      <c r="K105" s="11"/>
      <c r="L105" s="11" t="n">
        <v>0</v>
      </c>
      <c r="M105" s="18" t="n">
        <f aca="false">IF(H105="","",H105+L105)</f>
        <v>539</v>
      </c>
      <c r="N105" s="23" t="str">
        <f aca="false">IF(OR(K105="",M105=""),"",IF(J105&lt;&gt;"",K105/J105*H105/M105,IF(I105&lt;&gt;"",K105*I105/M105,"")))</f>
        <v/>
      </c>
      <c r="O105" s="18" t="str">
        <f aca="false">IF(N105="","",IF(N105&lt;FoodClasses!$C$2,"lean",IF(N105&lt;FoodClasses!$C$3,"medium","fatty")))</f>
        <v/>
      </c>
      <c r="P105" s="11" t="s">
        <v>797</v>
      </c>
      <c r="Q105" s="11" t="s">
        <v>521</v>
      </c>
      <c r="R105" s="11" t="s">
        <v>177</v>
      </c>
      <c r="S105" s="10" t="s">
        <v>1171</v>
      </c>
      <c r="T105" s="11"/>
      <c r="U105" s="10" t="s">
        <v>848</v>
      </c>
      <c r="V105" s="10" t="s">
        <v>801</v>
      </c>
      <c r="W105" s="10" t="s">
        <v>1548</v>
      </c>
      <c r="X105" s="10"/>
      <c r="Y105" s="10"/>
      <c r="Z105" s="10" t="s">
        <v>1549</v>
      </c>
      <c r="AA105" s="10" t="s">
        <v>1550</v>
      </c>
      <c r="AB105" s="10" t="s">
        <v>1551</v>
      </c>
    </row>
    <row r="106" customFormat="false" ht="46.25" hidden="false" customHeight="false" outlineLevel="0" collapsed="false">
      <c r="A106" s="10" t="s">
        <v>1552</v>
      </c>
      <c r="B106" s="10" t="s">
        <v>1005</v>
      </c>
      <c r="C106" s="10" t="s">
        <v>1553</v>
      </c>
      <c r="D106" s="10" t="s">
        <v>1554</v>
      </c>
      <c r="E106" s="10" t="s">
        <v>521</v>
      </c>
      <c r="F106" s="11" t="n">
        <v>8</v>
      </c>
      <c r="G106" s="11" t="n">
        <v>226</v>
      </c>
      <c r="H106" s="18" t="n">
        <f aca="false">IF(G106&lt;&gt;"",G106,IF(F106&lt;&gt;"",ROUND(F106*28.3495,0),""))</f>
        <v>226</v>
      </c>
      <c r="I106" s="11" t="n">
        <v>2.5</v>
      </c>
      <c r="J106" s="11" t="n">
        <v>91</v>
      </c>
      <c r="K106" s="11" t="n">
        <v>0</v>
      </c>
      <c r="L106" s="11" t="n">
        <v>0</v>
      </c>
      <c r="M106" s="18" t="n">
        <f aca="false">IF(H106="","",H106+L106)</f>
        <v>226</v>
      </c>
      <c r="N106" s="23" t="n">
        <f aca="false">IF(OR(K106="",M106=""),"",IF(J106&lt;&gt;"",K106/J106*H106/M106,IF(I106&lt;&gt;"",K106*I106/M106,"")))</f>
        <v>0</v>
      </c>
      <c r="O106" s="18" t="str">
        <f aca="false">IF(N106="","",IF(N106&lt;FoodClasses!$C$2,"lean",IF(N106&lt;FoodClasses!$C$3,"medium","fatty")))</f>
        <v>lean</v>
      </c>
      <c r="P106" s="11" t="s">
        <v>797</v>
      </c>
      <c r="Q106" s="11" t="s">
        <v>521</v>
      </c>
      <c r="R106" s="11" t="s">
        <v>177</v>
      </c>
      <c r="S106" s="10" t="s">
        <v>1171</v>
      </c>
      <c r="T106" s="11"/>
      <c r="U106" s="10" t="s">
        <v>800</v>
      </c>
      <c r="V106" s="10" t="s">
        <v>801</v>
      </c>
      <c r="W106" s="10" t="s">
        <v>1555</v>
      </c>
      <c r="X106" s="10" t="s">
        <v>1556</v>
      </c>
      <c r="Y106" s="10"/>
      <c r="Z106" s="10" t="s">
        <v>1557</v>
      </c>
      <c r="AA106" s="10" t="s">
        <v>1558</v>
      </c>
      <c r="AB106" s="10" t="s">
        <v>1559</v>
      </c>
    </row>
    <row r="107" customFormat="false" ht="35.05" hidden="false" customHeight="false" outlineLevel="0" collapsed="false">
      <c r="A107" s="10" t="s">
        <v>1560</v>
      </c>
      <c r="B107" s="10" t="s">
        <v>1005</v>
      </c>
      <c r="C107" s="10" t="s">
        <v>1561</v>
      </c>
      <c r="D107" s="10" t="s">
        <v>1562</v>
      </c>
      <c r="E107" s="10" t="s">
        <v>521</v>
      </c>
      <c r="F107" s="11" t="n">
        <v>8</v>
      </c>
      <c r="G107" s="11" t="n">
        <v>226</v>
      </c>
      <c r="H107" s="18" t="n">
        <f aca="false">IF(G107&lt;&gt;"",G107,IF(F107&lt;&gt;"",ROUND(F107*28.3495,0),""))</f>
        <v>226</v>
      </c>
      <c r="I107" s="11" t="n">
        <v>2</v>
      </c>
      <c r="J107" s="11" t="n">
        <v>109</v>
      </c>
      <c r="K107" s="11" t="n">
        <v>6</v>
      </c>
      <c r="L107" s="11" t="n">
        <v>0</v>
      </c>
      <c r="M107" s="18" t="n">
        <f aca="false">IF(H107="","",H107+L107)</f>
        <v>226</v>
      </c>
      <c r="N107" s="23" t="n">
        <f aca="false">IF(OR(K107="",M107=""),"",IF(J107&lt;&gt;"",K107/J107*H107/M107,IF(I107&lt;&gt;"",K107*I107/M107,"")))</f>
        <v>0.055045871559633</v>
      </c>
      <c r="O107" s="18" t="str">
        <f aca="false">IF(N107="","",IF(N107&lt;FoodClasses!$C$2,"lean",IF(N107&lt;FoodClasses!$C$3,"medium","fatty")))</f>
        <v>medium</v>
      </c>
      <c r="P107" s="11" t="s">
        <v>797</v>
      </c>
      <c r="Q107" s="11" t="s">
        <v>521</v>
      </c>
      <c r="R107" s="11" t="s">
        <v>177</v>
      </c>
      <c r="S107" s="10" t="s">
        <v>1171</v>
      </c>
      <c r="T107" s="11"/>
      <c r="U107" s="10" t="s">
        <v>800</v>
      </c>
      <c r="V107" s="10" t="s">
        <v>801</v>
      </c>
      <c r="W107" s="10" t="s">
        <v>1563</v>
      </c>
      <c r="X107" s="10" t="s">
        <v>1564</v>
      </c>
      <c r="Y107" s="10"/>
      <c r="Z107" s="10" t="s">
        <v>1565</v>
      </c>
      <c r="AA107" s="10" t="s">
        <v>1566</v>
      </c>
      <c r="AB107" s="10" t="s">
        <v>1567</v>
      </c>
    </row>
    <row r="108" customFormat="false" ht="79.85" hidden="false" customHeight="false" outlineLevel="0" collapsed="false">
      <c r="A108" s="10" t="s">
        <v>1568</v>
      </c>
      <c r="B108" s="10" t="s">
        <v>1005</v>
      </c>
      <c r="C108" s="10" t="s">
        <v>1569</v>
      </c>
      <c r="D108" s="10" t="s">
        <v>1570</v>
      </c>
      <c r="E108" s="10" t="s">
        <v>521</v>
      </c>
      <c r="F108" s="11" t="n">
        <v>7</v>
      </c>
      <c r="G108" s="11"/>
      <c r="H108" s="18" t="n">
        <f aca="false">IF(G108&lt;&gt;"",G108,IF(F108&lt;&gt;"",ROUND(F108*28.3495,0),""))</f>
        <v>198</v>
      </c>
      <c r="I108" s="11" t="n">
        <v>2</v>
      </c>
      <c r="J108" s="11" t="n">
        <v>110</v>
      </c>
      <c r="K108" s="11" t="n">
        <v>3</v>
      </c>
      <c r="L108" s="11" t="n">
        <v>0</v>
      </c>
      <c r="M108" s="18" t="n">
        <f aca="false">IF(H108="","",H108+L108)</f>
        <v>198</v>
      </c>
      <c r="N108" s="23" t="n">
        <f aca="false">IF(OR(K108="",M108=""),"",IF(J108&lt;&gt;"",K108/J108*H108/M108,IF(I108&lt;&gt;"",K108*I108/M108,"")))</f>
        <v>0.0272727272727273</v>
      </c>
      <c r="O108" s="18" t="str">
        <f aca="false">IF(N108="","",IF(N108&lt;FoodClasses!$C$2,"lean",IF(N108&lt;FoodClasses!$C$3,"medium","fatty")))</f>
        <v>lean</v>
      </c>
      <c r="P108" s="11" t="s">
        <v>797</v>
      </c>
      <c r="Q108" s="11" t="s">
        <v>521</v>
      </c>
      <c r="R108" s="11" t="s">
        <v>177</v>
      </c>
      <c r="S108" s="10" t="s">
        <v>1171</v>
      </c>
      <c r="T108" s="11"/>
      <c r="U108" s="10" t="s">
        <v>848</v>
      </c>
      <c r="V108" s="10" t="s">
        <v>801</v>
      </c>
      <c r="W108" s="10" t="s">
        <v>1571</v>
      </c>
      <c r="X108" s="10" t="s">
        <v>1572</v>
      </c>
      <c r="Y108" s="10"/>
      <c r="Z108" s="10" t="s">
        <v>1573</v>
      </c>
      <c r="AA108" s="10" t="s">
        <v>1574</v>
      </c>
      <c r="AB108" s="10" t="s">
        <v>1575</v>
      </c>
    </row>
    <row r="109" customFormat="false" ht="57.45" hidden="false" customHeight="false" outlineLevel="0" collapsed="false">
      <c r="A109" s="10" t="s">
        <v>1576</v>
      </c>
      <c r="B109" s="10" t="s">
        <v>1577</v>
      </c>
      <c r="C109" s="10" t="s">
        <v>1578</v>
      </c>
      <c r="D109" s="10" t="s">
        <v>1579</v>
      </c>
      <c r="E109" s="10" t="s">
        <v>796</v>
      </c>
      <c r="F109" s="11" t="n">
        <v>16</v>
      </c>
      <c r="G109" s="11" t="n">
        <v>454</v>
      </c>
      <c r="H109" s="18" t="n">
        <f aca="false">IF(G109&lt;&gt;"",G109,IF(F109&lt;&gt;"",ROUND(F109*28.3495,0),""))</f>
        <v>454</v>
      </c>
      <c r="I109" s="11" t="n">
        <v>3</v>
      </c>
      <c r="J109" s="11" t="n">
        <v>140</v>
      </c>
      <c r="K109" s="11" t="n">
        <v>16</v>
      </c>
      <c r="L109" s="11" t="n">
        <v>0</v>
      </c>
      <c r="M109" s="18" t="n">
        <f aca="false">IF(H109="","",H109+L109)</f>
        <v>454</v>
      </c>
      <c r="N109" s="23" t="n">
        <f aca="false">IF(OR(K109="",M109=""),"",IF(J109&lt;&gt;"",K109/J109*H109/M109,IF(I109&lt;&gt;"",K109*I109/M109,"")))</f>
        <v>0.114285714285714</v>
      </c>
      <c r="O109" s="18" t="str">
        <f aca="false">IF(N109="","",IF(N109&lt;FoodClasses!$C$2,"lean",IF(N109&lt;FoodClasses!$C$3,"medium","fatty")))</f>
        <v>fatty</v>
      </c>
      <c r="P109" s="11" t="s">
        <v>797</v>
      </c>
      <c r="Q109" s="11" t="s">
        <v>494</v>
      </c>
      <c r="R109" s="25" t="s">
        <v>811</v>
      </c>
      <c r="S109" s="10" t="s">
        <v>1580</v>
      </c>
      <c r="T109" s="11" t="n">
        <v>1200</v>
      </c>
      <c r="U109" s="10" t="s">
        <v>800</v>
      </c>
      <c r="V109" s="10" t="s">
        <v>801</v>
      </c>
      <c r="W109" s="10" t="s">
        <v>1581</v>
      </c>
      <c r="X109" s="10"/>
      <c r="Y109" s="10" t="s">
        <v>1582</v>
      </c>
      <c r="Z109" s="10" t="s">
        <v>1583</v>
      </c>
      <c r="AA109" s="10" t="s">
        <v>1584</v>
      </c>
      <c r="AB109" s="10" t="s">
        <v>1585</v>
      </c>
    </row>
    <row r="110" customFormat="false" ht="46.25" hidden="false" customHeight="false" outlineLevel="0" collapsed="false">
      <c r="A110" s="10" t="s">
        <v>1586</v>
      </c>
      <c r="B110" s="10" t="s">
        <v>1577</v>
      </c>
      <c r="C110" s="10" t="s">
        <v>1587</v>
      </c>
      <c r="D110" s="10" t="s">
        <v>1588</v>
      </c>
      <c r="E110" s="10" t="s">
        <v>796</v>
      </c>
      <c r="F110" s="11" t="n">
        <v>2.8</v>
      </c>
      <c r="G110" s="11"/>
      <c r="H110" s="18" t="n">
        <f aca="false">IF(G110&lt;&gt;"",G110,IF(F110&lt;&gt;"",ROUND(F110*28.3495,0),""))</f>
        <v>79</v>
      </c>
      <c r="I110" s="11" t="n">
        <v>1</v>
      </c>
      <c r="J110" s="11" t="n">
        <v>79</v>
      </c>
      <c r="K110" s="11" t="n">
        <v>11</v>
      </c>
      <c r="L110" s="11" t="n">
        <v>0</v>
      </c>
      <c r="M110" s="18" t="n">
        <f aca="false">IF(H110="","",H110+L110)</f>
        <v>79</v>
      </c>
      <c r="N110" s="23" t="n">
        <f aca="false">IF(OR(K110="",M110=""),"",IF(J110&lt;&gt;"",K110/J110*H110/M110,IF(I110&lt;&gt;"",K110*I110/M110,"")))</f>
        <v>0.139240506329114</v>
      </c>
      <c r="O110" s="18" t="str">
        <f aca="false">IF(N110="","",IF(N110&lt;FoodClasses!$C$2,"lean",IF(N110&lt;FoodClasses!$C$3,"medium","fatty")))</f>
        <v>fatty</v>
      </c>
      <c r="P110" s="11" t="s">
        <v>797</v>
      </c>
      <c r="Q110" s="11" t="s">
        <v>577</v>
      </c>
      <c r="R110" s="11" t="s">
        <v>177</v>
      </c>
      <c r="S110" s="10" t="s">
        <v>1589</v>
      </c>
      <c r="T110" s="11" t="n">
        <v>1200</v>
      </c>
      <c r="U110" s="10" t="s">
        <v>800</v>
      </c>
      <c r="V110" s="10" t="s">
        <v>801</v>
      </c>
      <c r="W110" s="10" t="s">
        <v>1581</v>
      </c>
      <c r="X110" s="10"/>
      <c r="Y110" s="10" t="s">
        <v>1590</v>
      </c>
      <c r="Z110" s="10" t="s">
        <v>1591</v>
      </c>
      <c r="AA110" s="10" t="s">
        <v>1592</v>
      </c>
      <c r="AB110" s="10" t="s">
        <v>1593</v>
      </c>
    </row>
    <row r="111" customFormat="false" ht="57.45" hidden="false" customHeight="false" outlineLevel="0" collapsed="false">
      <c r="A111" s="10" t="s">
        <v>1594</v>
      </c>
      <c r="B111" s="10" t="s">
        <v>1595</v>
      </c>
      <c r="C111" s="10" t="s">
        <v>1596</v>
      </c>
      <c r="D111" s="10" t="s">
        <v>1597</v>
      </c>
      <c r="E111" s="10" t="s">
        <v>1598</v>
      </c>
      <c r="F111" s="11" t="n">
        <v>13.1</v>
      </c>
      <c r="G111" s="11" t="n">
        <v>369</v>
      </c>
      <c r="H111" s="18" t="n">
        <f aca="false">IF(G111&lt;&gt;"",G111,IF(F111&lt;&gt;"",ROUND(F111*28.3495,0),""))</f>
        <v>369</v>
      </c>
      <c r="I111" s="11" t="n">
        <v>1</v>
      </c>
      <c r="J111" s="11" t="n">
        <v>369</v>
      </c>
      <c r="K111" s="11" t="n">
        <v>24</v>
      </c>
      <c r="L111" s="11" t="n">
        <v>0</v>
      </c>
      <c r="M111" s="18" t="n">
        <f aca="false">IF(H111="","",H111+L111)</f>
        <v>369</v>
      </c>
      <c r="N111" s="23" t="n">
        <f aca="false">IF(OR(K111="",M111=""),"",IF(J111&lt;&gt;"",K111/J111*H111/M111,IF(I111&lt;&gt;"",K111*I111/M111,"")))</f>
        <v>0.0650406504065041</v>
      </c>
      <c r="O111" s="18" t="str">
        <f aca="false">IF(N111="","",IF(N111&lt;FoodClasses!$C$2,"lean",IF(N111&lt;FoodClasses!$C$3,"medium","fatty")))</f>
        <v>medium</v>
      </c>
      <c r="P111" s="11" t="s">
        <v>1482</v>
      </c>
      <c r="Q111" s="11" t="s">
        <v>494</v>
      </c>
      <c r="R111" s="24" t="s">
        <v>798</v>
      </c>
      <c r="S111" s="10" t="s">
        <v>1599</v>
      </c>
      <c r="T111" s="11"/>
      <c r="U111" s="10" t="s">
        <v>848</v>
      </c>
      <c r="V111" s="10" t="s">
        <v>801</v>
      </c>
      <c r="W111" s="10" t="s">
        <v>1600</v>
      </c>
      <c r="X111" s="10"/>
      <c r="Y111" s="10"/>
      <c r="Z111" s="10" t="s">
        <v>1601</v>
      </c>
      <c r="AA111" s="10" t="s">
        <v>1602</v>
      </c>
      <c r="AB111" s="10" t="s">
        <v>1603</v>
      </c>
    </row>
    <row r="112" customFormat="false" ht="46.25" hidden="false" customHeight="false" outlineLevel="0" collapsed="false">
      <c r="A112" s="10" t="s">
        <v>1604</v>
      </c>
      <c r="B112" s="10" t="s">
        <v>1605</v>
      </c>
      <c r="C112" s="10" t="s">
        <v>1606</v>
      </c>
      <c r="D112" s="10" t="s">
        <v>1607</v>
      </c>
      <c r="E112" s="10" t="s">
        <v>590</v>
      </c>
      <c r="F112" s="11" t="n">
        <v>17.4</v>
      </c>
      <c r="G112" s="11" t="n">
        <v>493</v>
      </c>
      <c r="H112" s="18" t="n">
        <f aca="false">IF(G112&lt;&gt;"",G112,IF(F112&lt;&gt;"",ROUND(F112*28.3495,0),""))</f>
        <v>493</v>
      </c>
      <c r="I112" s="11" t="n">
        <v>16</v>
      </c>
      <c r="J112" s="11" t="n">
        <v>30</v>
      </c>
      <c r="K112" s="11" t="n">
        <v>9</v>
      </c>
      <c r="L112" s="11" t="n">
        <v>0</v>
      </c>
      <c r="M112" s="18" t="n">
        <f aca="false">IF(H112="","",H112+L112)</f>
        <v>493</v>
      </c>
      <c r="N112" s="23" t="n">
        <f aca="false">IF(OR(K112="",M112=""),"",IF(J112&lt;&gt;"",K112/J112*H112/M112,IF(I112&lt;&gt;"",K112*I112/M112,"")))</f>
        <v>0.3</v>
      </c>
      <c r="O112" s="18" t="str">
        <f aca="false">IF(N112="","",IF(N112&lt;FoodClasses!$C$2,"lean",IF(N112&lt;FoodClasses!$C$3,"medium","fatty")))</f>
        <v>fatty</v>
      </c>
      <c r="P112" s="11" t="s">
        <v>920</v>
      </c>
      <c r="Q112" s="11" t="s">
        <v>590</v>
      </c>
      <c r="R112" s="11" t="s">
        <v>177</v>
      </c>
      <c r="S112" s="10" t="s">
        <v>1208</v>
      </c>
      <c r="T112" s="11"/>
      <c r="U112" s="10" t="s">
        <v>895</v>
      </c>
      <c r="V112" s="10" t="s">
        <v>801</v>
      </c>
      <c r="W112" s="10" t="s">
        <v>1608</v>
      </c>
      <c r="X112" s="10"/>
      <c r="Y112" s="10"/>
      <c r="Z112" s="10" t="s">
        <v>1609</v>
      </c>
      <c r="AA112" s="10" t="s">
        <v>1602</v>
      </c>
      <c r="AB112" s="10" t="s">
        <v>1610</v>
      </c>
    </row>
    <row r="113" customFormat="false" ht="35.05" hidden="false" customHeight="false" outlineLevel="0" collapsed="false">
      <c r="A113" s="10" t="s">
        <v>1611</v>
      </c>
      <c r="B113" s="10" t="s">
        <v>1612</v>
      </c>
      <c r="C113" s="10" t="s">
        <v>1613</v>
      </c>
      <c r="D113" s="10" t="s">
        <v>1614</v>
      </c>
      <c r="E113" s="10" t="s">
        <v>590</v>
      </c>
      <c r="F113" s="11" t="n">
        <v>16.8</v>
      </c>
      <c r="G113" s="11" t="n">
        <v>476</v>
      </c>
      <c r="H113" s="18" t="n">
        <f aca="false">IF(G113&lt;&gt;"",G113,IF(F113&lt;&gt;"",ROUND(F113*28.3495,0),""))</f>
        <v>476</v>
      </c>
      <c r="I113" s="11" t="n">
        <v>15</v>
      </c>
      <c r="J113" s="11" t="n">
        <v>32</v>
      </c>
      <c r="K113" s="11"/>
      <c r="L113" s="11" t="n">
        <v>0</v>
      </c>
      <c r="M113" s="18" t="n">
        <f aca="false">IF(H113="","",H113+L113)</f>
        <v>476</v>
      </c>
      <c r="N113" s="23" t="str">
        <f aca="false">IF(OR(K113="",M113=""),"",IF(J113&lt;&gt;"",K113/J113*H113/M113,IF(I113&lt;&gt;"",K113*I113/M113,"")))</f>
        <v/>
      </c>
      <c r="O113" s="18" t="str">
        <f aca="false">IF(N113="","",IF(N113&lt;FoodClasses!$C$2,"lean",IF(N113&lt;FoodClasses!$C$3,"medium","fatty")))</f>
        <v/>
      </c>
      <c r="P113" s="11" t="s">
        <v>920</v>
      </c>
      <c r="Q113" s="11" t="s">
        <v>590</v>
      </c>
      <c r="R113" s="11" t="s">
        <v>177</v>
      </c>
      <c r="S113" s="10" t="s">
        <v>1208</v>
      </c>
      <c r="T113" s="11"/>
      <c r="U113" s="10" t="s">
        <v>895</v>
      </c>
      <c r="V113" s="10" t="s">
        <v>801</v>
      </c>
      <c r="W113" s="10" t="s">
        <v>1608</v>
      </c>
      <c r="X113" s="10" t="s">
        <v>1615</v>
      </c>
      <c r="Y113" s="10"/>
      <c r="Z113" s="10" t="s">
        <v>1616</v>
      </c>
      <c r="AA113" s="10" t="s">
        <v>1602</v>
      </c>
      <c r="AB113" s="10" t="s">
        <v>1617</v>
      </c>
    </row>
    <row r="114" customFormat="false" ht="35.05" hidden="false" customHeight="false" outlineLevel="0" collapsed="false">
      <c r="A114" s="10" t="s">
        <v>1618</v>
      </c>
      <c r="B114" s="10" t="s">
        <v>1577</v>
      </c>
      <c r="C114" s="10" t="s">
        <v>1619</v>
      </c>
      <c r="D114" s="10" t="s">
        <v>1620</v>
      </c>
      <c r="E114" s="10" t="s">
        <v>796</v>
      </c>
      <c r="F114" s="11" t="n">
        <v>21.16</v>
      </c>
      <c r="G114" s="11" t="n">
        <v>600</v>
      </c>
      <c r="H114" s="18" t="n">
        <f aca="false">IF(G114&lt;&gt;"",G114,IF(F114&lt;&gt;"",ROUND(F114*28.3495,0),""))</f>
        <v>600</v>
      </c>
      <c r="I114" s="11" t="n">
        <v>6</v>
      </c>
      <c r="J114" s="11" t="n">
        <v>100</v>
      </c>
      <c r="K114" s="11" t="n">
        <v>7</v>
      </c>
      <c r="L114" s="11" t="n">
        <v>0</v>
      </c>
      <c r="M114" s="18" t="n">
        <f aca="false">IF(H114="","",H114+L114)</f>
        <v>600</v>
      </c>
      <c r="N114" s="23" t="n">
        <f aca="false">IF(OR(K114="",M114=""),"",IF(J114&lt;&gt;"",K114/J114*H114/M114,IF(I114&lt;&gt;"",K114*I114/M114,"")))</f>
        <v>0.07</v>
      </c>
      <c r="O114" s="18" t="str">
        <f aca="false">IF(N114="","",IF(N114&lt;FoodClasses!$C$2,"lean",IF(N114&lt;FoodClasses!$C$3,"medium","fatty")))</f>
        <v>medium</v>
      </c>
      <c r="P114" s="11" t="s">
        <v>797</v>
      </c>
      <c r="Q114" s="11" t="s">
        <v>494</v>
      </c>
      <c r="R114" s="24" t="s">
        <v>798</v>
      </c>
      <c r="S114" s="10" t="s">
        <v>1621</v>
      </c>
      <c r="T114" s="11" t="n">
        <v>1200</v>
      </c>
      <c r="U114" s="10" t="s">
        <v>800</v>
      </c>
      <c r="V114" s="10" t="s">
        <v>801</v>
      </c>
      <c r="W114" s="10" t="s">
        <v>1581</v>
      </c>
      <c r="X114" s="10"/>
      <c r="Y114" s="10" t="s">
        <v>1622</v>
      </c>
      <c r="Z114" s="10" t="s">
        <v>1623</v>
      </c>
      <c r="AA114" s="10" t="s">
        <v>1624</v>
      </c>
      <c r="AB114" s="10" t="s">
        <v>1625</v>
      </c>
    </row>
    <row r="115" customFormat="false" ht="35.05" hidden="false" customHeight="false" outlineLevel="0" collapsed="false">
      <c r="A115" s="10" t="s">
        <v>1626</v>
      </c>
      <c r="B115" s="10" t="s">
        <v>1577</v>
      </c>
      <c r="C115" s="10" t="s">
        <v>1627</v>
      </c>
      <c r="D115" s="10" t="s">
        <v>1628</v>
      </c>
      <c r="E115" s="10" t="s">
        <v>796</v>
      </c>
      <c r="F115" s="11" t="n">
        <v>7</v>
      </c>
      <c r="G115" s="11"/>
      <c r="H115" s="18" t="n">
        <f aca="false">IF(G115&lt;&gt;"",G115,IF(F115&lt;&gt;"",ROUND(F115*28.3495,0),""))</f>
        <v>198</v>
      </c>
      <c r="I115" s="11" t="n">
        <v>1</v>
      </c>
      <c r="J115" s="11" t="n">
        <v>198</v>
      </c>
      <c r="K115" s="11" t="n">
        <v>19</v>
      </c>
      <c r="L115" s="11" t="n">
        <v>0</v>
      </c>
      <c r="M115" s="18" t="n">
        <f aca="false">IF(H115="","",H115+L115)</f>
        <v>198</v>
      </c>
      <c r="N115" s="23" t="n">
        <f aca="false">IF(OR(K115="",M115=""),"",IF(J115&lt;&gt;"",K115/J115*H115/M115,IF(I115&lt;&gt;"",K115*I115/M115,"")))</f>
        <v>0.095959595959596</v>
      </c>
      <c r="O115" s="18" t="str">
        <f aca="false">IF(N115="","",IF(N115&lt;FoodClasses!$C$2,"lean",IF(N115&lt;FoodClasses!$C$3,"medium","fatty")))</f>
        <v>medium</v>
      </c>
      <c r="P115" s="11" t="s">
        <v>797</v>
      </c>
      <c r="Q115" s="11" t="s">
        <v>577</v>
      </c>
      <c r="R115" s="11" t="s">
        <v>177</v>
      </c>
      <c r="S115" s="10" t="s">
        <v>1629</v>
      </c>
      <c r="T115" s="11" t="n">
        <v>1200</v>
      </c>
      <c r="U115" s="10" t="s">
        <v>800</v>
      </c>
      <c r="V115" s="10" t="s">
        <v>801</v>
      </c>
      <c r="W115" s="10" t="s">
        <v>1630</v>
      </c>
      <c r="X115" s="10"/>
      <c r="Y115" s="10" t="s">
        <v>1631</v>
      </c>
      <c r="Z115" s="10" t="s">
        <v>1632</v>
      </c>
      <c r="AA115" s="10" t="s">
        <v>1633</v>
      </c>
      <c r="AB115" s="10" t="s">
        <v>1634</v>
      </c>
    </row>
    <row r="116" customFormat="false" ht="57.45" hidden="false" customHeight="false" outlineLevel="0" collapsed="false">
      <c r="A116" s="10" t="s">
        <v>1635</v>
      </c>
      <c r="B116" s="10" t="s">
        <v>1577</v>
      </c>
      <c r="C116" s="10" t="s">
        <v>1636</v>
      </c>
      <c r="D116" s="10" t="s">
        <v>1637</v>
      </c>
      <c r="E116" s="10" t="s">
        <v>796</v>
      </c>
      <c r="F116" s="11" t="n">
        <v>16</v>
      </c>
      <c r="G116" s="11" t="n">
        <v>454</v>
      </c>
      <c r="H116" s="18" t="n">
        <f aca="false">IF(G116&lt;&gt;"",G116,IF(F116&lt;&gt;"",ROUND(F116*28.3495,0),""))</f>
        <v>454</v>
      </c>
      <c r="I116" s="11" t="n">
        <v>3</v>
      </c>
      <c r="J116" s="11" t="n">
        <v>140</v>
      </c>
      <c r="K116" s="11" t="n">
        <v>7</v>
      </c>
      <c r="L116" s="11" t="n">
        <v>0</v>
      </c>
      <c r="M116" s="18" t="n">
        <f aca="false">IF(H116="","",H116+L116)</f>
        <v>454</v>
      </c>
      <c r="N116" s="23" t="n">
        <f aca="false">IF(OR(K116="",M116=""),"",IF(J116&lt;&gt;"",K116/J116*H116/M116,IF(I116&lt;&gt;"",K116*I116/M116,"")))</f>
        <v>0.05</v>
      </c>
      <c r="O116" s="18" t="str">
        <f aca="false">IF(N116="","",IF(N116&lt;FoodClasses!$C$2,"lean",IF(N116&lt;FoodClasses!$C$3,"medium","fatty")))</f>
        <v>medium</v>
      </c>
      <c r="P116" s="11" t="s">
        <v>797</v>
      </c>
      <c r="Q116" s="11" t="s">
        <v>494</v>
      </c>
      <c r="R116" s="25" t="s">
        <v>811</v>
      </c>
      <c r="S116" s="10" t="s">
        <v>1580</v>
      </c>
      <c r="T116" s="11" t="n">
        <v>1200</v>
      </c>
      <c r="U116" s="10" t="s">
        <v>800</v>
      </c>
      <c r="V116" s="10" t="s">
        <v>801</v>
      </c>
      <c r="W116" s="10" t="s">
        <v>1581</v>
      </c>
      <c r="X116" s="10"/>
      <c r="Y116" s="10" t="s">
        <v>1638</v>
      </c>
      <c r="Z116" s="10" t="s">
        <v>1639</v>
      </c>
      <c r="AA116" s="10" t="s">
        <v>1584</v>
      </c>
      <c r="AB116" s="10" t="s">
        <v>1640</v>
      </c>
    </row>
    <row r="117" customFormat="false" ht="57.45" hidden="false" customHeight="false" outlineLevel="0" collapsed="false">
      <c r="A117" s="10" t="s">
        <v>1641</v>
      </c>
      <c r="B117" s="10" t="s">
        <v>1577</v>
      </c>
      <c r="C117" s="10" t="s">
        <v>1642</v>
      </c>
      <c r="D117" s="10" t="s">
        <v>1643</v>
      </c>
      <c r="E117" s="10" t="s">
        <v>796</v>
      </c>
      <c r="F117" s="11" t="n">
        <v>16</v>
      </c>
      <c r="G117" s="11" t="n">
        <v>454</v>
      </c>
      <c r="H117" s="18" t="n">
        <f aca="false">IF(G117&lt;&gt;"",G117,IF(F117&lt;&gt;"",ROUND(F117*28.3495,0),""))</f>
        <v>454</v>
      </c>
      <c r="I117" s="11" t="n">
        <v>2</v>
      </c>
      <c r="J117" s="11" t="n">
        <v>227</v>
      </c>
      <c r="K117" s="11" t="n">
        <v>15</v>
      </c>
      <c r="L117" s="11" t="n">
        <v>0</v>
      </c>
      <c r="M117" s="18" t="n">
        <f aca="false">IF(H117="","",H117+L117)</f>
        <v>454</v>
      </c>
      <c r="N117" s="23" t="n">
        <f aca="false">IF(OR(K117="",M117=""),"",IF(J117&lt;&gt;"",K117/J117*H117/M117,IF(I117&lt;&gt;"",K117*I117/M117,"")))</f>
        <v>0.066079295154185</v>
      </c>
      <c r="O117" s="18" t="str">
        <f aca="false">IF(N117="","",IF(N117&lt;FoodClasses!$C$2,"lean",IF(N117&lt;FoodClasses!$C$3,"medium","fatty")))</f>
        <v>medium</v>
      </c>
      <c r="P117" s="11" t="s">
        <v>797</v>
      </c>
      <c r="Q117" s="11" t="s">
        <v>494</v>
      </c>
      <c r="R117" s="25" t="s">
        <v>811</v>
      </c>
      <c r="S117" s="10" t="s">
        <v>1580</v>
      </c>
      <c r="T117" s="11" t="n">
        <v>1200</v>
      </c>
      <c r="U117" s="10" t="s">
        <v>800</v>
      </c>
      <c r="V117" s="10" t="s">
        <v>801</v>
      </c>
      <c r="W117" s="10" t="s">
        <v>1581</v>
      </c>
      <c r="X117" s="10"/>
      <c r="Y117" s="10" t="s">
        <v>1644</v>
      </c>
      <c r="Z117" s="10" t="s">
        <v>1645</v>
      </c>
      <c r="AA117" s="10" t="s">
        <v>1584</v>
      </c>
      <c r="AB117" s="10" t="s">
        <v>1646</v>
      </c>
    </row>
    <row r="118" customFormat="false" ht="35.05" hidden="false" customHeight="false" outlineLevel="0" collapsed="false">
      <c r="A118" s="10" t="s">
        <v>1647</v>
      </c>
      <c r="B118" s="10" t="s">
        <v>1577</v>
      </c>
      <c r="C118" s="10" t="s">
        <v>1648</v>
      </c>
      <c r="D118" s="10" t="s">
        <v>1649</v>
      </c>
      <c r="E118" s="10" t="s">
        <v>1598</v>
      </c>
      <c r="F118" s="11" t="n">
        <v>12</v>
      </c>
      <c r="G118" s="11" t="n">
        <v>340</v>
      </c>
      <c r="H118" s="18" t="n">
        <f aca="false">IF(G118&lt;&gt;"",G118,IF(F118&lt;&gt;"",ROUND(F118*28.3495,0),""))</f>
        <v>340</v>
      </c>
      <c r="I118" s="11" t="n">
        <v>1</v>
      </c>
      <c r="J118" s="11" t="n">
        <v>340</v>
      </c>
      <c r="K118" s="11" t="n">
        <v>7</v>
      </c>
      <c r="L118" s="11" t="n">
        <v>0</v>
      </c>
      <c r="M118" s="18" t="n">
        <f aca="false">IF(H118="","",H118+L118)</f>
        <v>340</v>
      </c>
      <c r="N118" s="23" t="n">
        <f aca="false">IF(OR(K118="",M118=""),"",IF(J118&lt;&gt;"",K118/J118*H118/M118,IF(I118&lt;&gt;"",K118*I118/M118,"")))</f>
        <v>0.0205882352941176</v>
      </c>
      <c r="O118" s="18" t="str">
        <f aca="false">IF(N118="","",IF(N118&lt;FoodClasses!$C$2,"lean",IF(N118&lt;FoodClasses!$C$3,"medium","fatty")))</f>
        <v>lean</v>
      </c>
      <c r="P118" s="11" t="s">
        <v>1482</v>
      </c>
      <c r="Q118" s="11" t="s">
        <v>494</v>
      </c>
      <c r="R118" s="25" t="s">
        <v>811</v>
      </c>
      <c r="S118" s="10" t="s">
        <v>1650</v>
      </c>
      <c r="T118" s="11" t="n">
        <v>1200</v>
      </c>
      <c r="U118" s="10" t="s">
        <v>800</v>
      </c>
      <c r="V118" s="10" t="s">
        <v>801</v>
      </c>
      <c r="W118" s="10" t="s">
        <v>1581</v>
      </c>
      <c r="X118" s="10"/>
      <c r="Y118" s="10"/>
      <c r="Z118" s="10" t="s">
        <v>1651</v>
      </c>
      <c r="AA118" s="10" t="s">
        <v>1652</v>
      </c>
      <c r="AB118" s="10" t="s">
        <v>1653</v>
      </c>
    </row>
    <row r="119" customFormat="false" ht="57.45" hidden="false" customHeight="false" outlineLevel="0" collapsed="false">
      <c r="A119" s="10" t="s">
        <v>1654</v>
      </c>
      <c r="B119" s="10" t="s">
        <v>1577</v>
      </c>
      <c r="C119" s="10" t="s">
        <v>1655</v>
      </c>
      <c r="D119" s="10" t="s">
        <v>1656</v>
      </c>
      <c r="E119" s="10" t="s">
        <v>1598</v>
      </c>
      <c r="F119" s="11" t="n">
        <v>16</v>
      </c>
      <c r="G119" s="11" t="n">
        <v>454</v>
      </c>
      <c r="H119" s="18" t="n">
        <f aca="false">IF(G119&lt;&gt;"",G119,IF(F119&lt;&gt;"",ROUND(F119*28.3495,0),""))</f>
        <v>454</v>
      </c>
      <c r="I119" s="11" t="n">
        <v>5</v>
      </c>
      <c r="J119" s="11" t="n">
        <v>84</v>
      </c>
      <c r="K119" s="11" t="n">
        <v>4</v>
      </c>
      <c r="L119" s="11" t="n">
        <v>0</v>
      </c>
      <c r="M119" s="18" t="n">
        <f aca="false">IF(H119="","",H119+L119)</f>
        <v>454</v>
      </c>
      <c r="N119" s="23" t="n">
        <f aca="false">IF(OR(K119="",M119=""),"",IF(J119&lt;&gt;"",K119/J119*H119/M119,IF(I119&lt;&gt;"",K119*I119/M119,"")))</f>
        <v>0.0476190476190476</v>
      </c>
      <c r="O119" s="18" t="str">
        <f aca="false">IF(N119="","",IF(N119&lt;FoodClasses!$C$2,"lean",IF(N119&lt;FoodClasses!$C$3,"medium","fatty")))</f>
        <v>medium</v>
      </c>
      <c r="P119" s="11" t="s">
        <v>1482</v>
      </c>
      <c r="Q119" s="11" t="s">
        <v>494</v>
      </c>
      <c r="R119" s="25" t="s">
        <v>811</v>
      </c>
      <c r="S119" s="10" t="s">
        <v>1580</v>
      </c>
      <c r="T119" s="11" t="n">
        <v>1200</v>
      </c>
      <c r="U119" s="10" t="s">
        <v>800</v>
      </c>
      <c r="V119" s="10" t="s">
        <v>801</v>
      </c>
      <c r="W119" s="10" t="s">
        <v>1581</v>
      </c>
      <c r="X119" s="10"/>
      <c r="Y119" s="10"/>
      <c r="Z119" s="10" t="s">
        <v>1657</v>
      </c>
      <c r="AA119" s="10" t="s">
        <v>1584</v>
      </c>
      <c r="AB119" s="10" t="s">
        <v>1658</v>
      </c>
    </row>
    <row r="120" customFormat="false" ht="35.05" hidden="false" customHeight="false" outlineLevel="0" collapsed="false">
      <c r="A120" s="10" t="s">
        <v>1659</v>
      </c>
      <c r="B120" s="10" t="s">
        <v>1577</v>
      </c>
      <c r="C120" s="10" t="s">
        <v>1660</v>
      </c>
      <c r="D120" s="10" t="s">
        <v>1661</v>
      </c>
      <c r="E120" s="10" t="s">
        <v>1598</v>
      </c>
      <c r="F120" s="11" t="n">
        <v>18</v>
      </c>
      <c r="G120" s="11" t="n">
        <v>510</v>
      </c>
      <c r="H120" s="18" t="n">
        <f aca="false">IF(G120&lt;&gt;"",G120,IF(F120&lt;&gt;"",ROUND(F120*28.3495,0),""))</f>
        <v>510</v>
      </c>
      <c r="I120" s="11" t="n">
        <v>3</v>
      </c>
      <c r="J120" s="11" t="n">
        <v>170</v>
      </c>
      <c r="K120" s="11" t="n">
        <v>5</v>
      </c>
      <c r="L120" s="11" t="n">
        <v>0</v>
      </c>
      <c r="M120" s="18" t="n">
        <f aca="false">IF(H120="","",H120+L120)</f>
        <v>510</v>
      </c>
      <c r="N120" s="23" t="n">
        <f aca="false">IF(OR(K120="",M120=""),"",IF(J120&lt;&gt;"",K120/J120*H120/M120,IF(I120&lt;&gt;"",K120*I120/M120,"")))</f>
        <v>0.0294117647058824</v>
      </c>
      <c r="O120" s="18" t="str">
        <f aca="false">IF(N120="","",IF(N120&lt;FoodClasses!$C$2,"lean",IF(N120&lt;FoodClasses!$C$3,"medium","fatty")))</f>
        <v>lean</v>
      </c>
      <c r="P120" s="11" t="s">
        <v>1482</v>
      </c>
      <c r="Q120" s="11" t="s">
        <v>486</v>
      </c>
      <c r="R120" s="25" t="s">
        <v>1662</v>
      </c>
      <c r="S120" s="10" t="s">
        <v>1663</v>
      </c>
      <c r="T120" s="11" t="n">
        <v>1200</v>
      </c>
      <c r="U120" s="10" t="s">
        <v>800</v>
      </c>
      <c r="V120" s="10" t="s">
        <v>801</v>
      </c>
      <c r="W120" s="10" t="s">
        <v>1581</v>
      </c>
      <c r="X120" s="10"/>
      <c r="Y120" s="10" t="s">
        <v>1664</v>
      </c>
      <c r="Z120" s="10" t="s">
        <v>1665</v>
      </c>
      <c r="AA120" s="10" t="s">
        <v>1584</v>
      </c>
      <c r="AB120" s="10" t="s">
        <v>1666</v>
      </c>
    </row>
    <row r="121" customFormat="false" ht="35.05" hidden="false" customHeight="false" outlineLevel="0" collapsed="false">
      <c r="A121" s="10" t="s">
        <v>1667</v>
      </c>
      <c r="B121" s="10" t="s">
        <v>1577</v>
      </c>
      <c r="C121" s="10" t="s">
        <v>1668</v>
      </c>
      <c r="D121" s="10" t="s">
        <v>1669</v>
      </c>
      <c r="E121" s="10" t="s">
        <v>1598</v>
      </c>
      <c r="F121" s="11" t="n">
        <v>20</v>
      </c>
      <c r="G121" s="11" t="n">
        <v>567</v>
      </c>
      <c r="H121" s="18" t="n">
        <f aca="false">IF(G121&lt;&gt;"",G121,IF(F121&lt;&gt;"",ROUND(F121*28.3495,0),""))</f>
        <v>567</v>
      </c>
      <c r="I121" s="11" t="n">
        <v>2.5</v>
      </c>
      <c r="J121" s="11"/>
      <c r="K121" s="11" t="n">
        <v>19</v>
      </c>
      <c r="L121" s="11" t="n">
        <v>0</v>
      </c>
      <c r="M121" s="18" t="n">
        <f aca="false">IF(H121="","",H121+L121)</f>
        <v>567</v>
      </c>
      <c r="N121" s="23" t="n">
        <f aca="false">IF(OR(K121="",M121=""),"",IF(J121&lt;&gt;"",K121/J121*H121/M121,IF(I121&lt;&gt;"",K121*I121/M121,"")))</f>
        <v>0.0837742504409171</v>
      </c>
      <c r="O121" s="18" t="str">
        <f aca="false">IF(N121="","",IF(N121&lt;FoodClasses!$C$2,"lean",IF(N121&lt;FoodClasses!$C$3,"medium","fatty")))</f>
        <v>medium</v>
      </c>
      <c r="P121" s="11" t="s">
        <v>1482</v>
      </c>
      <c r="Q121" s="11" t="s">
        <v>486</v>
      </c>
      <c r="R121" s="24" t="s">
        <v>798</v>
      </c>
      <c r="S121" s="10" t="s">
        <v>1670</v>
      </c>
      <c r="T121" s="11" t="n">
        <v>1200</v>
      </c>
      <c r="U121" s="10" t="s">
        <v>800</v>
      </c>
      <c r="V121" s="10" t="s">
        <v>801</v>
      </c>
      <c r="W121" s="10" t="s">
        <v>1581</v>
      </c>
      <c r="X121" s="10"/>
      <c r="Y121" s="10" t="s">
        <v>1671</v>
      </c>
      <c r="Z121" s="10" t="s">
        <v>1672</v>
      </c>
      <c r="AA121" s="10" t="s">
        <v>1673</v>
      </c>
      <c r="AB121" s="10" t="s">
        <v>1674</v>
      </c>
    </row>
    <row r="122" customFormat="false" ht="57.45" hidden="false" customHeight="false" outlineLevel="0" collapsed="false">
      <c r="A122" s="10" t="s">
        <v>1675</v>
      </c>
      <c r="B122" s="10" t="s">
        <v>1676</v>
      </c>
      <c r="C122" s="10" t="s">
        <v>1677</v>
      </c>
      <c r="D122" s="10" t="s">
        <v>1678</v>
      </c>
      <c r="E122" s="10" t="s">
        <v>1598</v>
      </c>
      <c r="F122" s="11" t="n">
        <v>24</v>
      </c>
      <c r="G122" s="11" t="n">
        <v>680</v>
      </c>
      <c r="H122" s="18" t="n">
        <f aca="false">IF(G122&lt;&gt;"",G122,IF(F122&lt;&gt;"",ROUND(F122*28.3495,0),""))</f>
        <v>680</v>
      </c>
      <c r="I122" s="11" t="n">
        <v>5</v>
      </c>
      <c r="J122" s="11" t="n">
        <v>140</v>
      </c>
      <c r="K122" s="11" t="n">
        <v>11</v>
      </c>
      <c r="L122" s="11" t="n">
        <v>0</v>
      </c>
      <c r="M122" s="18" t="n">
        <f aca="false">IF(H122="","",H122+L122)</f>
        <v>680</v>
      </c>
      <c r="N122" s="23" t="n">
        <f aca="false">IF(OR(K122="",M122=""),"",IF(J122&lt;&gt;"",K122/J122*H122/M122,IF(I122&lt;&gt;"",K122*I122/M122,"")))</f>
        <v>0.0785714285714286</v>
      </c>
      <c r="O122" s="18" t="str">
        <f aca="false">IF(N122="","",IF(N122&lt;FoodClasses!$C$2,"lean",IF(N122&lt;FoodClasses!$C$3,"medium","fatty")))</f>
        <v>medium</v>
      </c>
      <c r="P122" s="11" t="s">
        <v>1482</v>
      </c>
      <c r="Q122" s="11" t="s">
        <v>494</v>
      </c>
      <c r="R122" s="25" t="s">
        <v>811</v>
      </c>
      <c r="S122" s="10" t="s">
        <v>1580</v>
      </c>
      <c r="T122" s="11"/>
      <c r="U122" s="10" t="s">
        <v>848</v>
      </c>
      <c r="V122" s="10" t="s">
        <v>801</v>
      </c>
      <c r="W122" s="10" t="s">
        <v>1679</v>
      </c>
      <c r="X122" s="10"/>
      <c r="Y122" s="10"/>
      <c r="Z122" s="10" t="s">
        <v>1680</v>
      </c>
      <c r="AA122" s="10" t="s">
        <v>1602</v>
      </c>
      <c r="AB122" s="10" t="s">
        <v>1681</v>
      </c>
    </row>
    <row r="123" customFormat="false" ht="35.05" hidden="false" customHeight="false" outlineLevel="0" collapsed="false">
      <c r="A123" s="10" t="s">
        <v>1682</v>
      </c>
      <c r="B123" s="10" t="s">
        <v>1676</v>
      </c>
      <c r="C123" s="10" t="s">
        <v>1683</v>
      </c>
      <c r="D123" s="10"/>
      <c r="E123" s="10" t="s">
        <v>1598</v>
      </c>
      <c r="F123" s="11" t="n">
        <v>15.8</v>
      </c>
      <c r="G123" s="11" t="n">
        <v>448</v>
      </c>
      <c r="H123" s="18" t="n">
        <f aca="false">IF(G123&lt;&gt;"",G123,IF(F123&lt;&gt;"",ROUND(F123*28.3495,0),""))</f>
        <v>448</v>
      </c>
      <c r="I123" s="11" t="n">
        <v>2</v>
      </c>
      <c r="J123" s="11" t="n">
        <v>210</v>
      </c>
      <c r="K123" s="11" t="n">
        <v>27</v>
      </c>
      <c r="L123" s="11" t="n">
        <v>0</v>
      </c>
      <c r="M123" s="18" t="n">
        <f aca="false">IF(H123="","",H123+L123)</f>
        <v>448</v>
      </c>
      <c r="N123" s="23" t="n">
        <f aca="false">IF(OR(K123="",M123=""),"",IF(J123&lt;&gt;"",K123/J123*H123/M123,IF(I123&lt;&gt;"",K123*I123/M123,"")))</f>
        <v>0.128571428571429</v>
      </c>
      <c r="O123" s="18" t="str">
        <f aca="false">IF(N123="","",IF(N123&lt;FoodClasses!$C$2,"lean",IF(N123&lt;FoodClasses!$C$3,"medium","fatty")))</f>
        <v>fatty</v>
      </c>
      <c r="P123" s="11" t="s">
        <v>1482</v>
      </c>
      <c r="Q123" s="11" t="s">
        <v>494</v>
      </c>
      <c r="R123" s="25" t="s">
        <v>811</v>
      </c>
      <c r="S123" s="10" t="s">
        <v>1684</v>
      </c>
      <c r="T123" s="11"/>
      <c r="U123" s="10" t="s">
        <v>848</v>
      </c>
      <c r="V123" s="10" t="s">
        <v>801</v>
      </c>
      <c r="W123" s="10" t="s">
        <v>1685</v>
      </c>
      <c r="X123" s="10"/>
      <c r="Y123" s="10"/>
      <c r="Z123" s="10" t="s">
        <v>1686</v>
      </c>
      <c r="AA123" s="10" t="s">
        <v>1687</v>
      </c>
      <c r="AB123" s="10" t="s">
        <v>1688</v>
      </c>
    </row>
    <row r="124" customFormat="false" ht="35.05" hidden="false" customHeight="false" outlineLevel="0" collapsed="false">
      <c r="A124" s="10" t="s">
        <v>1689</v>
      </c>
      <c r="B124" s="10" t="s">
        <v>1676</v>
      </c>
      <c r="C124" s="10" t="s">
        <v>1690</v>
      </c>
      <c r="D124" s="10" t="s">
        <v>1691</v>
      </c>
      <c r="E124" s="10" t="s">
        <v>1598</v>
      </c>
      <c r="F124" s="11" t="n">
        <v>12</v>
      </c>
      <c r="G124" s="11" t="n">
        <v>340</v>
      </c>
      <c r="H124" s="18" t="n">
        <f aca="false">IF(G124&lt;&gt;"",G124,IF(F124&lt;&gt;"",ROUND(F124*28.3495,0),""))</f>
        <v>340</v>
      </c>
      <c r="I124" s="11" t="n">
        <v>4</v>
      </c>
      <c r="J124" s="11" t="n">
        <v>87</v>
      </c>
      <c r="K124" s="11" t="n">
        <v>7</v>
      </c>
      <c r="L124" s="11" t="n">
        <v>0</v>
      </c>
      <c r="M124" s="18" t="n">
        <f aca="false">IF(H124="","",H124+L124)</f>
        <v>340</v>
      </c>
      <c r="N124" s="23" t="n">
        <f aca="false">IF(OR(K124="",M124=""),"",IF(J124&lt;&gt;"",K124/J124*H124/M124,IF(I124&lt;&gt;"",K124*I124/M124,"")))</f>
        <v>0.0804597701149425</v>
      </c>
      <c r="O124" s="18" t="str">
        <f aca="false">IF(N124="","",IF(N124&lt;FoodClasses!$C$2,"lean",IF(N124&lt;FoodClasses!$C$3,"medium","fatty")))</f>
        <v>medium</v>
      </c>
      <c r="P124" s="11" t="s">
        <v>1482</v>
      </c>
      <c r="Q124" s="11" t="s">
        <v>494</v>
      </c>
      <c r="R124" s="25" t="s">
        <v>811</v>
      </c>
      <c r="S124" s="10" t="s">
        <v>1684</v>
      </c>
      <c r="T124" s="11"/>
      <c r="U124" s="10" t="s">
        <v>848</v>
      </c>
      <c r="V124" s="10" t="s">
        <v>801</v>
      </c>
      <c r="W124" s="10" t="s">
        <v>1685</v>
      </c>
      <c r="X124" s="10"/>
      <c r="Y124" s="10"/>
      <c r="Z124" s="10" t="s">
        <v>1692</v>
      </c>
      <c r="AA124" s="10" t="s">
        <v>1602</v>
      </c>
      <c r="AB124" s="10" t="s">
        <v>1693</v>
      </c>
    </row>
    <row r="125" customFormat="false" ht="46.25" hidden="false" customHeight="false" outlineLevel="0" collapsed="false">
      <c r="A125" s="10" t="s">
        <v>1694</v>
      </c>
      <c r="B125" s="10" t="s">
        <v>1695</v>
      </c>
      <c r="C125" s="10" t="s">
        <v>1696</v>
      </c>
      <c r="D125" s="10" t="s">
        <v>1697</v>
      </c>
      <c r="E125" s="10" t="s">
        <v>1041</v>
      </c>
      <c r="F125" s="11" t="n">
        <v>9</v>
      </c>
      <c r="G125" s="11" t="n">
        <v>255</v>
      </c>
      <c r="H125" s="18" t="n">
        <f aca="false">IF(G125&lt;&gt;"",G125,IF(F125&lt;&gt;"",ROUND(F125*28.3495,0),""))</f>
        <v>255</v>
      </c>
      <c r="I125" s="11" t="n">
        <v>2</v>
      </c>
      <c r="J125" s="11"/>
      <c r="K125" s="11" t="n">
        <v>9</v>
      </c>
      <c r="L125" s="11" t="n">
        <v>0</v>
      </c>
      <c r="M125" s="18" t="n">
        <f aca="false">IF(H125="","",H125+L125)</f>
        <v>255</v>
      </c>
      <c r="N125" s="23" t="n">
        <f aca="false">IF(OR(K125="",M125=""),"",IF(J125&lt;&gt;"",K125/J125*H125/M125,IF(I125&lt;&gt;"",K125*I125/M125,"")))</f>
        <v>0.0705882352941177</v>
      </c>
      <c r="O125" s="18" t="str">
        <f aca="false">IF(N125="","",IF(N125&lt;FoodClasses!$C$2,"lean",IF(N125&lt;FoodClasses!$C$3,"medium","fatty")))</f>
        <v>medium</v>
      </c>
      <c r="P125" s="11" t="s">
        <v>797</v>
      </c>
      <c r="Q125" s="11" t="s">
        <v>584</v>
      </c>
      <c r="R125" s="11" t="s">
        <v>177</v>
      </c>
      <c r="S125" s="10" t="s">
        <v>1698</v>
      </c>
      <c r="T125" s="11"/>
      <c r="U125" s="10" t="s">
        <v>930</v>
      </c>
      <c r="V125" s="10" t="s">
        <v>811</v>
      </c>
      <c r="W125" s="10"/>
      <c r="X125" s="10" t="s">
        <v>1699</v>
      </c>
      <c r="Y125" s="10" t="s">
        <v>1700</v>
      </c>
      <c r="Z125" s="10" t="s">
        <v>1701</v>
      </c>
      <c r="AA125" s="10" t="s">
        <v>1702</v>
      </c>
      <c r="AB125" s="10" t="s">
        <v>1703</v>
      </c>
    </row>
    <row r="126" customFormat="false" ht="35.05" hidden="false" customHeight="false" outlineLevel="0" collapsed="false">
      <c r="A126" s="10" t="s">
        <v>1704</v>
      </c>
      <c r="B126" s="10" t="s">
        <v>1705</v>
      </c>
      <c r="C126" s="10" t="s">
        <v>1706</v>
      </c>
      <c r="D126" s="10" t="s">
        <v>1707</v>
      </c>
      <c r="E126" s="10" t="s">
        <v>1598</v>
      </c>
      <c r="F126" s="11" t="n">
        <v>16</v>
      </c>
      <c r="G126" s="11" t="n">
        <v>454</v>
      </c>
      <c r="H126" s="18" t="n">
        <f aca="false">IF(G126&lt;&gt;"",G126,IF(F126&lt;&gt;"",ROUND(F126*28.3495,0),""))</f>
        <v>454</v>
      </c>
      <c r="I126" s="11" t="n">
        <v>2</v>
      </c>
      <c r="J126" s="11" t="n">
        <v>227</v>
      </c>
      <c r="K126" s="11" t="n">
        <v>16</v>
      </c>
      <c r="L126" s="11" t="n">
        <v>0</v>
      </c>
      <c r="M126" s="18" t="n">
        <f aca="false">IF(H126="","",H126+L126)</f>
        <v>454</v>
      </c>
      <c r="N126" s="23" t="n">
        <f aca="false">IF(OR(K126="",M126=""),"",IF(J126&lt;&gt;"",K126/J126*H126/M126,IF(I126&lt;&gt;"",K126*I126/M126,"")))</f>
        <v>0.0704845814977974</v>
      </c>
      <c r="O126" s="18" t="str">
        <f aca="false">IF(N126="","",IF(N126&lt;FoodClasses!$C$2,"lean",IF(N126&lt;FoodClasses!$C$3,"medium","fatty")))</f>
        <v>medium</v>
      </c>
      <c r="P126" s="11" t="s">
        <v>1482</v>
      </c>
      <c r="Q126" s="11" t="s">
        <v>494</v>
      </c>
      <c r="R126" s="24" t="s">
        <v>798</v>
      </c>
      <c r="S126" s="10" t="s">
        <v>1708</v>
      </c>
      <c r="T126" s="11"/>
      <c r="U126" s="10" t="s">
        <v>848</v>
      </c>
      <c r="V126" s="10" t="s">
        <v>801</v>
      </c>
      <c r="W126" s="10" t="s">
        <v>1709</v>
      </c>
      <c r="X126" s="10"/>
      <c r="Y126" s="10"/>
      <c r="Z126" s="10" t="s">
        <v>1710</v>
      </c>
      <c r="AA126" s="10" t="s">
        <v>1702</v>
      </c>
      <c r="AB126" s="10" t="s">
        <v>1711</v>
      </c>
    </row>
    <row r="127" customFormat="false" ht="57.45" hidden="false" customHeight="false" outlineLevel="0" collapsed="false">
      <c r="A127" s="10" t="s">
        <v>1712</v>
      </c>
      <c r="B127" s="10" t="s">
        <v>1713</v>
      </c>
      <c r="C127" s="10" t="s">
        <v>1714</v>
      </c>
      <c r="D127" s="10" t="s">
        <v>1715</v>
      </c>
      <c r="E127" s="10" t="s">
        <v>1598</v>
      </c>
      <c r="F127" s="11" t="n">
        <v>11</v>
      </c>
      <c r="G127" s="11" t="n">
        <v>312</v>
      </c>
      <c r="H127" s="18" t="n">
        <f aca="false">IF(G127&lt;&gt;"",G127,IF(F127&lt;&gt;"",ROUND(F127*28.3495,0),""))</f>
        <v>312</v>
      </c>
      <c r="I127" s="11"/>
      <c r="J127" s="11"/>
      <c r="K127" s="11"/>
      <c r="L127" s="11" t="n">
        <v>0</v>
      </c>
      <c r="M127" s="18" t="n">
        <f aca="false">IF(H127="","",H127+L127)</f>
        <v>312</v>
      </c>
      <c r="N127" s="23" t="str">
        <f aca="false">IF(OR(K127="",M127=""),"",IF(J127&lt;&gt;"",K127/J127*H127/M127,IF(I127&lt;&gt;"",K127*I127/M127,"")))</f>
        <v/>
      </c>
      <c r="O127" s="18" t="str">
        <f aca="false">IF(N127="","",IF(N127&lt;FoodClasses!$C$2,"lean",IF(N127&lt;FoodClasses!$C$3,"medium","fatty")))</f>
        <v/>
      </c>
      <c r="P127" s="11" t="s">
        <v>1482</v>
      </c>
      <c r="Q127" s="11" t="s">
        <v>494</v>
      </c>
      <c r="R127" s="25" t="s">
        <v>1662</v>
      </c>
      <c r="S127" s="10" t="s">
        <v>1716</v>
      </c>
      <c r="T127" s="11"/>
      <c r="U127" s="10" t="s">
        <v>848</v>
      </c>
      <c r="V127" s="10" t="s">
        <v>801</v>
      </c>
      <c r="W127" s="10" t="s">
        <v>1717</v>
      </c>
      <c r="X127" s="10"/>
      <c r="Y127" s="10"/>
      <c r="Z127" s="10" t="s">
        <v>1718</v>
      </c>
      <c r="AA127" s="10" t="s">
        <v>1719</v>
      </c>
      <c r="AB127" s="10" t="s">
        <v>1720</v>
      </c>
    </row>
    <row r="128" customFormat="false" ht="35.05" hidden="false" customHeight="false" outlineLevel="0" collapsed="false">
      <c r="A128" s="10" t="s">
        <v>1721</v>
      </c>
      <c r="B128" s="10" t="s">
        <v>1722</v>
      </c>
      <c r="C128" s="10" t="s">
        <v>1723</v>
      </c>
      <c r="D128" s="10" t="s">
        <v>1724</v>
      </c>
      <c r="E128" s="10" t="s">
        <v>1598</v>
      </c>
      <c r="F128" s="11" t="n">
        <v>11.6</v>
      </c>
      <c r="G128" s="11" t="n">
        <v>329</v>
      </c>
      <c r="H128" s="18" t="n">
        <f aca="false">IF(G128&lt;&gt;"",G128,IF(F128&lt;&gt;"",ROUND(F128*28.3495,0),""))</f>
        <v>329</v>
      </c>
      <c r="I128" s="11" t="n">
        <v>1</v>
      </c>
      <c r="J128" s="11"/>
      <c r="K128" s="11" t="n">
        <v>0</v>
      </c>
      <c r="L128" s="11" t="n">
        <v>0</v>
      </c>
      <c r="M128" s="18" t="n">
        <f aca="false">IF(H128="","",H128+L128)</f>
        <v>329</v>
      </c>
      <c r="N128" s="23" t="n">
        <f aca="false">IF(OR(K128="",M128=""),"",IF(J128&lt;&gt;"",K128/J128*H128/M128,IF(I128&lt;&gt;"",K128*I128/M128,"")))</f>
        <v>0</v>
      </c>
      <c r="O128" s="18" t="str">
        <f aca="false">IF(N128="","",IF(N128&lt;FoodClasses!$C$2,"lean",IF(N128&lt;FoodClasses!$C$3,"medium","fatty")))</f>
        <v>lean</v>
      </c>
      <c r="P128" s="11" t="s">
        <v>1482</v>
      </c>
      <c r="Q128" s="11" t="s">
        <v>494</v>
      </c>
      <c r="R128" s="25" t="s">
        <v>811</v>
      </c>
      <c r="S128" s="10" t="s">
        <v>1725</v>
      </c>
      <c r="T128" s="11"/>
      <c r="U128" s="10" t="s">
        <v>895</v>
      </c>
      <c r="V128" s="10" t="s">
        <v>801</v>
      </c>
      <c r="W128" s="10" t="s">
        <v>1726</v>
      </c>
      <c r="X128" s="10"/>
      <c r="Y128" s="10"/>
      <c r="Z128" s="10" t="s">
        <v>1727</v>
      </c>
      <c r="AA128" s="10" t="s">
        <v>1728</v>
      </c>
      <c r="AB128" s="10" t="s">
        <v>1729</v>
      </c>
    </row>
    <row r="129" customFormat="false" ht="35.05" hidden="false" customHeight="false" outlineLevel="0" collapsed="false">
      <c r="A129" s="10" t="s">
        <v>1730</v>
      </c>
      <c r="B129" s="10" t="s">
        <v>1731</v>
      </c>
      <c r="C129" s="10" t="s">
        <v>1732</v>
      </c>
      <c r="D129" s="10" t="s">
        <v>1733</v>
      </c>
      <c r="E129" s="10" t="s">
        <v>1598</v>
      </c>
      <c r="F129" s="11" t="n">
        <v>10</v>
      </c>
      <c r="G129" s="11" t="n">
        <v>283</v>
      </c>
      <c r="H129" s="18" t="n">
        <f aca="false">IF(G129&lt;&gt;"",G129,IF(F129&lt;&gt;"",ROUND(F129*28.3495,0),""))</f>
        <v>283</v>
      </c>
      <c r="I129" s="11"/>
      <c r="J129" s="11"/>
      <c r="K129" s="11"/>
      <c r="L129" s="11" t="n">
        <v>0</v>
      </c>
      <c r="M129" s="18" t="n">
        <f aca="false">IF(H129="","",H129+L129)</f>
        <v>283</v>
      </c>
      <c r="N129" s="23" t="str">
        <f aca="false">IF(OR(K129="",M129=""),"",IF(J129&lt;&gt;"",K129/J129*H129/M129,IF(I129&lt;&gt;"",K129*I129/M129,"")))</f>
        <v/>
      </c>
      <c r="O129" s="18" t="str">
        <f aca="false">IF(N129="","",IF(N129&lt;FoodClasses!$C$2,"lean",IF(N129&lt;FoodClasses!$C$3,"medium","fatty")))</f>
        <v/>
      </c>
      <c r="P129" s="11" t="s">
        <v>1482</v>
      </c>
      <c r="Q129" s="11" t="s">
        <v>494</v>
      </c>
      <c r="R129" s="24" t="s">
        <v>798</v>
      </c>
      <c r="S129" s="10" t="s">
        <v>1734</v>
      </c>
      <c r="T129" s="11"/>
      <c r="U129" s="10" t="s">
        <v>895</v>
      </c>
      <c r="V129" s="10" t="s">
        <v>801</v>
      </c>
      <c r="W129" s="10" t="s">
        <v>1726</v>
      </c>
      <c r="X129" s="10"/>
      <c r="Y129" s="10"/>
      <c r="Z129" s="10" t="s">
        <v>1735</v>
      </c>
      <c r="AA129" s="10" t="s">
        <v>1719</v>
      </c>
      <c r="AB129" s="10" t="s">
        <v>1736</v>
      </c>
    </row>
    <row r="130" customFormat="false" ht="35.05" hidden="false" customHeight="false" outlineLevel="0" collapsed="false">
      <c r="A130" s="10" t="s">
        <v>1737</v>
      </c>
      <c r="B130" s="10" t="s">
        <v>1731</v>
      </c>
      <c r="C130" s="10" t="s">
        <v>1738</v>
      </c>
      <c r="D130" s="10" t="s">
        <v>1739</v>
      </c>
      <c r="E130" s="10" t="s">
        <v>1598</v>
      </c>
      <c r="F130" s="11" t="n">
        <v>18</v>
      </c>
      <c r="G130" s="11" t="n">
        <v>510</v>
      </c>
      <c r="H130" s="18" t="n">
        <f aca="false">IF(G130&lt;&gt;"",G130,IF(F130&lt;&gt;"",ROUND(F130*28.3495,0),""))</f>
        <v>510</v>
      </c>
      <c r="I130" s="11"/>
      <c r="J130" s="11"/>
      <c r="K130" s="11"/>
      <c r="L130" s="11" t="n">
        <v>0</v>
      </c>
      <c r="M130" s="18" t="n">
        <f aca="false">IF(H130="","",H130+L130)</f>
        <v>510</v>
      </c>
      <c r="N130" s="23" t="str">
        <f aca="false">IF(OR(K130="",M130=""),"",IF(J130&lt;&gt;"",K130/J130*H130/M130,IF(I130&lt;&gt;"",K130*I130/M130,"")))</f>
        <v/>
      </c>
      <c r="O130" s="18" t="str">
        <f aca="false">IF(N130="","",IF(N130&lt;FoodClasses!$C$2,"lean",IF(N130&lt;FoodClasses!$C$3,"medium","fatty")))</f>
        <v/>
      </c>
      <c r="P130" s="11" t="s">
        <v>1482</v>
      </c>
      <c r="Q130" s="11" t="s">
        <v>494</v>
      </c>
      <c r="R130" s="25" t="s">
        <v>811</v>
      </c>
      <c r="S130" s="10" t="s">
        <v>1740</v>
      </c>
      <c r="T130" s="11"/>
      <c r="U130" s="10" t="s">
        <v>895</v>
      </c>
      <c r="V130" s="10" t="s">
        <v>801</v>
      </c>
      <c r="W130" s="10" t="s">
        <v>1726</v>
      </c>
      <c r="X130" s="10"/>
      <c r="Y130" s="10"/>
      <c r="Z130" s="10" t="s">
        <v>1741</v>
      </c>
      <c r="AA130" s="10" t="s">
        <v>1719</v>
      </c>
      <c r="AB130" s="10" t="s">
        <v>1742</v>
      </c>
    </row>
    <row r="131" customFormat="false" ht="46.25" hidden="false" customHeight="false" outlineLevel="0" collapsed="false">
      <c r="A131" s="10" t="s">
        <v>1743</v>
      </c>
      <c r="B131" s="10" t="s">
        <v>1744</v>
      </c>
      <c r="C131" s="10" t="s">
        <v>1745</v>
      </c>
      <c r="D131" s="10" t="s">
        <v>1746</v>
      </c>
      <c r="E131" s="10" t="s">
        <v>1598</v>
      </c>
      <c r="F131" s="11" t="n">
        <v>12.9</v>
      </c>
      <c r="G131" s="11" t="n">
        <v>366</v>
      </c>
      <c r="H131" s="18" t="n">
        <f aca="false">IF(G131&lt;&gt;"",G131,IF(F131&lt;&gt;"",ROUND(F131*28.3495,0),""))</f>
        <v>366</v>
      </c>
      <c r="I131" s="11" t="n">
        <v>3</v>
      </c>
      <c r="J131" s="11" t="n">
        <v>127</v>
      </c>
      <c r="K131" s="11" t="n">
        <v>4</v>
      </c>
      <c r="L131" s="11" t="n">
        <v>0</v>
      </c>
      <c r="M131" s="18" t="n">
        <f aca="false">IF(H131="","",H131+L131)</f>
        <v>366</v>
      </c>
      <c r="N131" s="23" t="n">
        <f aca="false">IF(OR(K131="",M131=""),"",IF(J131&lt;&gt;"",K131/J131*H131/M131,IF(I131&lt;&gt;"",K131*I131/M131,"")))</f>
        <v>0.031496062992126</v>
      </c>
      <c r="O131" s="18" t="str">
        <f aca="false">IF(N131="","",IF(N131&lt;FoodClasses!$C$2,"lean",IF(N131&lt;FoodClasses!$C$3,"medium","fatty")))</f>
        <v>medium</v>
      </c>
      <c r="P131" s="11" t="s">
        <v>1482</v>
      </c>
      <c r="Q131" s="11" t="s">
        <v>494</v>
      </c>
      <c r="R131" s="25" t="s">
        <v>1662</v>
      </c>
      <c r="S131" s="10" t="s">
        <v>1747</v>
      </c>
      <c r="T131" s="11"/>
      <c r="U131" s="10" t="s">
        <v>848</v>
      </c>
      <c r="V131" s="10" t="s">
        <v>801</v>
      </c>
      <c r="W131" s="10" t="s">
        <v>1748</v>
      </c>
      <c r="X131" s="10"/>
      <c r="Y131" s="10"/>
      <c r="Z131" s="10" t="s">
        <v>1749</v>
      </c>
      <c r="AA131" s="10" t="s">
        <v>1702</v>
      </c>
      <c r="AB131" s="10" t="s">
        <v>1750</v>
      </c>
    </row>
    <row r="132" customFormat="false" ht="46.25" hidden="false" customHeight="false" outlineLevel="0" collapsed="false">
      <c r="A132" s="10" t="s">
        <v>1751</v>
      </c>
      <c r="B132" s="10" t="s">
        <v>1744</v>
      </c>
      <c r="C132" s="10" t="s">
        <v>1752</v>
      </c>
      <c r="D132" s="10" t="s">
        <v>1753</v>
      </c>
      <c r="E132" s="10" t="s">
        <v>1598</v>
      </c>
      <c r="F132" s="11" t="n">
        <v>12.75</v>
      </c>
      <c r="G132" s="11" t="n">
        <v>361</v>
      </c>
      <c r="H132" s="18" t="n">
        <f aca="false">IF(G132&lt;&gt;"",G132,IF(F132&lt;&gt;"",ROUND(F132*28.3495,0),""))</f>
        <v>361</v>
      </c>
      <c r="I132" s="11" t="n">
        <v>2.5</v>
      </c>
      <c r="J132" s="11" t="n">
        <v>145</v>
      </c>
      <c r="K132" s="11" t="n">
        <v>2</v>
      </c>
      <c r="L132" s="11" t="n">
        <v>0</v>
      </c>
      <c r="M132" s="18" t="n">
        <f aca="false">IF(H132="","",H132+L132)</f>
        <v>361</v>
      </c>
      <c r="N132" s="23" t="n">
        <f aca="false">IF(OR(K132="",M132=""),"",IF(J132&lt;&gt;"",K132/J132*H132/M132,IF(I132&lt;&gt;"",K132*I132/M132,"")))</f>
        <v>0.0137931034482759</v>
      </c>
      <c r="O132" s="18" t="str">
        <f aca="false">IF(N132="","",IF(N132&lt;FoodClasses!$C$2,"lean",IF(N132&lt;FoodClasses!$C$3,"medium","fatty")))</f>
        <v>lean</v>
      </c>
      <c r="P132" s="11" t="s">
        <v>1482</v>
      </c>
      <c r="Q132" s="11" t="s">
        <v>494</v>
      </c>
      <c r="R132" s="25" t="s">
        <v>1662</v>
      </c>
      <c r="S132" s="10" t="s">
        <v>1747</v>
      </c>
      <c r="T132" s="11"/>
      <c r="U132" s="10" t="s">
        <v>848</v>
      </c>
      <c r="V132" s="10" t="s">
        <v>801</v>
      </c>
      <c r="W132" s="10" t="s">
        <v>1748</v>
      </c>
      <c r="X132" s="10"/>
      <c r="Y132" s="10"/>
      <c r="Z132" s="10" t="s">
        <v>1749</v>
      </c>
      <c r="AA132" s="10" t="s">
        <v>1702</v>
      </c>
      <c r="AB132" s="10" t="s">
        <v>1754</v>
      </c>
    </row>
    <row r="133" customFormat="false" ht="46.25" hidden="false" customHeight="false" outlineLevel="0" collapsed="false">
      <c r="A133" s="10" t="s">
        <v>1755</v>
      </c>
      <c r="B133" s="10" t="s">
        <v>1744</v>
      </c>
      <c r="C133" s="10" t="s">
        <v>1756</v>
      </c>
      <c r="D133" s="10" t="s">
        <v>1757</v>
      </c>
      <c r="E133" s="10" t="s">
        <v>1598</v>
      </c>
      <c r="F133" s="11" t="n">
        <v>13.8</v>
      </c>
      <c r="G133" s="11" t="n">
        <v>391</v>
      </c>
      <c r="H133" s="18" t="n">
        <f aca="false">IF(G133&lt;&gt;"",G133,IF(F133&lt;&gt;"",ROUND(F133*28.3495,0),""))</f>
        <v>391</v>
      </c>
      <c r="I133" s="11" t="n">
        <v>3</v>
      </c>
      <c r="J133" s="11" t="n">
        <v>138</v>
      </c>
      <c r="K133" s="11" t="n">
        <v>7</v>
      </c>
      <c r="L133" s="11" t="n">
        <v>0</v>
      </c>
      <c r="M133" s="18" t="n">
        <f aca="false">IF(H133="","",H133+L133)</f>
        <v>391</v>
      </c>
      <c r="N133" s="23" t="n">
        <f aca="false">IF(OR(K133="",M133=""),"",IF(J133&lt;&gt;"",K133/J133*H133/M133,IF(I133&lt;&gt;"",K133*I133/M133,"")))</f>
        <v>0.0507246376811594</v>
      </c>
      <c r="O133" s="18" t="str">
        <f aca="false">IF(N133="","",IF(N133&lt;FoodClasses!$C$2,"lean",IF(N133&lt;FoodClasses!$C$3,"medium","fatty")))</f>
        <v>medium</v>
      </c>
      <c r="P133" s="11" t="s">
        <v>1482</v>
      </c>
      <c r="Q133" s="11" t="s">
        <v>494</v>
      </c>
      <c r="R133" s="25" t="s">
        <v>1662</v>
      </c>
      <c r="S133" s="10" t="s">
        <v>1747</v>
      </c>
      <c r="T133" s="11"/>
      <c r="U133" s="10" t="s">
        <v>848</v>
      </c>
      <c r="V133" s="10" t="s">
        <v>801</v>
      </c>
      <c r="W133" s="10" t="s">
        <v>1748</v>
      </c>
      <c r="X133" s="10"/>
      <c r="Y133" s="10"/>
      <c r="Z133" s="10" t="s">
        <v>1749</v>
      </c>
      <c r="AA133" s="10" t="s">
        <v>1702</v>
      </c>
      <c r="AB133" s="10" t="s">
        <v>1758</v>
      </c>
    </row>
    <row r="134" customFormat="false" ht="46.25" hidden="false" customHeight="false" outlineLevel="0" collapsed="false">
      <c r="A134" s="10" t="s">
        <v>1759</v>
      </c>
      <c r="B134" s="10" t="s">
        <v>1160</v>
      </c>
      <c r="C134" s="10" t="s">
        <v>1760</v>
      </c>
      <c r="D134" s="10" t="s">
        <v>1761</v>
      </c>
      <c r="E134" s="10" t="s">
        <v>796</v>
      </c>
      <c r="F134" s="11" t="n">
        <v>4.4</v>
      </c>
      <c r="G134" s="11"/>
      <c r="H134" s="18" t="n">
        <f aca="false">IF(G134&lt;&gt;"",G134,IF(F134&lt;&gt;"",ROUND(F134*28.3495,0),""))</f>
        <v>125</v>
      </c>
      <c r="I134" s="11" t="n">
        <v>1</v>
      </c>
      <c r="J134" s="11" t="n">
        <v>125</v>
      </c>
      <c r="K134" s="11" t="n">
        <v>4</v>
      </c>
      <c r="L134" s="11" t="n">
        <v>0</v>
      </c>
      <c r="M134" s="18" t="n">
        <f aca="false">IF(H134="","",H134+L134)</f>
        <v>125</v>
      </c>
      <c r="N134" s="23" t="n">
        <f aca="false">IF(OR(K134="",M134=""),"",IF(J134&lt;&gt;"",K134/J134*H134/M134,IF(I134&lt;&gt;"",K134*I134/M134,"")))</f>
        <v>0.032</v>
      </c>
      <c r="O134" s="18" t="str">
        <f aca="false">IF(N134="","",IF(N134&lt;FoodClasses!$C$2,"lean",IF(N134&lt;FoodClasses!$C$3,"medium","fatty")))</f>
        <v>medium</v>
      </c>
      <c r="P134" s="11" t="s">
        <v>797</v>
      </c>
      <c r="Q134" s="11" t="s">
        <v>577</v>
      </c>
      <c r="R134" s="11" t="s">
        <v>177</v>
      </c>
      <c r="S134" s="10" t="s">
        <v>1762</v>
      </c>
      <c r="T134" s="11" t="n">
        <v>1100</v>
      </c>
      <c r="U134" s="10" t="s">
        <v>800</v>
      </c>
      <c r="V134" s="10" t="s">
        <v>801</v>
      </c>
      <c r="W134" s="10" t="s">
        <v>1763</v>
      </c>
      <c r="X134" s="10" t="s">
        <v>1764</v>
      </c>
      <c r="Y134" s="10" t="s">
        <v>1765</v>
      </c>
      <c r="Z134" s="10" t="s">
        <v>1766</v>
      </c>
      <c r="AA134" s="10" t="s">
        <v>1767</v>
      </c>
      <c r="AB134" s="10" t="s">
        <v>1768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3" min="3" style="0" width="8"/>
    <col collapsed="false" customWidth="true" hidden="false" outlineLevel="0" max="4" min="4" style="0" width="60"/>
    <col collapsed="false" customWidth="true" hidden="false" outlineLevel="0" max="5" min="5" style="0" width="9"/>
    <col collapsed="false" customWidth="true" hidden="false" outlineLevel="0" max="6" min="6" style="0" width="11"/>
  </cols>
  <sheetData>
    <row r="1" customFormat="false" ht="23.85" hidden="false" customHeight="false" outlineLevel="0" collapsed="false">
      <c r="A1" s="9" t="s">
        <v>1769</v>
      </c>
      <c r="B1" s="9" t="s">
        <v>1770</v>
      </c>
      <c r="C1" s="9" t="s">
        <v>1771</v>
      </c>
      <c r="D1" s="9" t="s">
        <v>1772</v>
      </c>
      <c r="E1" s="9" t="s">
        <v>1773</v>
      </c>
      <c r="F1" s="9" t="s">
        <v>1774</v>
      </c>
    </row>
    <row r="2" customFormat="false" ht="15" hidden="false" customHeight="false" outlineLevel="0" collapsed="false">
      <c r="A2" s="10" t="s">
        <v>792</v>
      </c>
      <c r="B2" s="10" t="n">
        <v>1</v>
      </c>
      <c r="C2" s="11" t="s">
        <v>1775</v>
      </c>
      <c r="D2" s="10" t="s">
        <v>1776</v>
      </c>
      <c r="E2" s="11" t="n">
        <v>240</v>
      </c>
      <c r="F2" s="11"/>
    </row>
    <row r="3" customFormat="false" ht="15" hidden="false" customHeight="false" outlineLevel="0" collapsed="false">
      <c r="A3" s="10" t="s">
        <v>792</v>
      </c>
      <c r="B3" s="10" t="n">
        <v>2</v>
      </c>
      <c r="C3" s="11" t="s">
        <v>1777</v>
      </c>
      <c r="D3" s="10" t="s">
        <v>1778</v>
      </c>
      <c r="E3" s="11"/>
      <c r="F3" s="11"/>
    </row>
    <row r="4" customFormat="false" ht="15" hidden="false" customHeight="false" outlineLevel="0" collapsed="false">
      <c r="A4" s="10" t="s">
        <v>792</v>
      </c>
      <c r="B4" s="10" t="n">
        <v>3</v>
      </c>
      <c r="C4" s="11" t="s">
        <v>1775</v>
      </c>
      <c r="D4" s="10" t="s">
        <v>1779</v>
      </c>
      <c r="E4" s="11" t="n">
        <v>120</v>
      </c>
      <c r="F4" s="11" t="n">
        <v>180</v>
      </c>
    </row>
    <row r="5" customFormat="false" ht="15" hidden="false" customHeight="false" outlineLevel="0" collapsed="false">
      <c r="A5" s="10" t="s">
        <v>792</v>
      </c>
      <c r="B5" s="10" t="n">
        <v>4</v>
      </c>
      <c r="C5" s="11" t="s">
        <v>1777</v>
      </c>
      <c r="D5" s="10" t="s">
        <v>1780</v>
      </c>
      <c r="E5" s="11"/>
      <c r="F5" s="11"/>
    </row>
    <row r="6" customFormat="false" ht="15" hidden="false" customHeight="false" outlineLevel="0" collapsed="false">
      <c r="A6" s="10" t="s">
        <v>792</v>
      </c>
      <c r="B6" s="10" t="n">
        <v>5</v>
      </c>
      <c r="C6" s="11" t="s">
        <v>1781</v>
      </c>
      <c r="D6" s="10" t="s">
        <v>1781</v>
      </c>
      <c r="E6" s="11" t="n">
        <v>60</v>
      </c>
      <c r="F6" s="11"/>
    </row>
    <row r="7" customFormat="false" ht="15" hidden="false" customHeight="false" outlineLevel="0" collapsed="false">
      <c r="A7" s="10" t="s">
        <v>807</v>
      </c>
      <c r="B7" s="10" t="n">
        <v>1</v>
      </c>
      <c r="C7" s="11" t="s">
        <v>1775</v>
      </c>
      <c r="D7" s="10" t="s">
        <v>1779</v>
      </c>
      <c r="E7" s="11" t="n">
        <v>180</v>
      </c>
      <c r="F7" s="11"/>
    </row>
    <row r="8" customFormat="false" ht="15" hidden="false" customHeight="false" outlineLevel="0" collapsed="false">
      <c r="A8" s="10" t="s">
        <v>807</v>
      </c>
      <c r="B8" s="10" t="n">
        <v>2</v>
      </c>
      <c r="C8" s="11" t="s">
        <v>1777</v>
      </c>
      <c r="D8" s="10" t="s">
        <v>1782</v>
      </c>
      <c r="E8" s="11"/>
      <c r="F8" s="11"/>
    </row>
    <row r="9" customFormat="false" ht="15" hidden="false" customHeight="false" outlineLevel="0" collapsed="false">
      <c r="A9" s="10" t="s">
        <v>807</v>
      </c>
      <c r="B9" s="10" t="n">
        <v>3</v>
      </c>
      <c r="C9" s="11" t="s">
        <v>1775</v>
      </c>
      <c r="D9" s="10" t="s">
        <v>1779</v>
      </c>
      <c r="E9" s="11" t="n">
        <v>150</v>
      </c>
      <c r="F9" s="11" t="n">
        <v>180</v>
      </c>
    </row>
    <row r="10" customFormat="false" ht="15" hidden="false" customHeight="false" outlineLevel="0" collapsed="false">
      <c r="A10" s="10" t="s">
        <v>807</v>
      </c>
      <c r="B10" s="10" t="n">
        <v>4</v>
      </c>
      <c r="C10" s="11" t="s">
        <v>1777</v>
      </c>
      <c r="D10" s="10" t="s">
        <v>1780</v>
      </c>
      <c r="E10" s="11"/>
      <c r="F10" s="11"/>
    </row>
    <row r="11" customFormat="false" ht="15" hidden="false" customHeight="false" outlineLevel="0" collapsed="false">
      <c r="A11" s="10" t="s">
        <v>807</v>
      </c>
      <c r="B11" s="10" t="n">
        <v>5</v>
      </c>
      <c r="C11" s="11" t="s">
        <v>1781</v>
      </c>
      <c r="D11" s="10" t="s">
        <v>1781</v>
      </c>
      <c r="E11" s="11" t="n">
        <v>120</v>
      </c>
      <c r="F11" s="11"/>
    </row>
    <row r="12" customFormat="false" ht="15" hidden="false" customHeight="false" outlineLevel="0" collapsed="false">
      <c r="A12" s="10" t="s">
        <v>818</v>
      </c>
      <c r="B12" s="10" t="n">
        <v>1</v>
      </c>
      <c r="C12" s="11" t="s">
        <v>1775</v>
      </c>
      <c r="D12" s="10" t="s">
        <v>1776</v>
      </c>
      <c r="E12" s="11" t="n">
        <v>240</v>
      </c>
      <c r="F12" s="11"/>
    </row>
    <row r="13" customFormat="false" ht="15" hidden="false" customHeight="false" outlineLevel="0" collapsed="false">
      <c r="A13" s="10" t="s">
        <v>818</v>
      </c>
      <c r="B13" s="10" t="n">
        <v>2</v>
      </c>
      <c r="C13" s="11" t="s">
        <v>1777</v>
      </c>
      <c r="D13" s="10" t="s">
        <v>1783</v>
      </c>
      <c r="E13" s="11"/>
      <c r="F13" s="11"/>
    </row>
    <row r="14" customFormat="false" ht="15" hidden="false" customHeight="false" outlineLevel="0" collapsed="false">
      <c r="A14" s="10" t="s">
        <v>818</v>
      </c>
      <c r="B14" s="10" t="n">
        <v>3</v>
      </c>
      <c r="C14" s="11" t="s">
        <v>1775</v>
      </c>
      <c r="D14" s="10" t="s">
        <v>1779</v>
      </c>
      <c r="E14" s="11" t="n">
        <v>60</v>
      </c>
      <c r="F14" s="11" t="n">
        <v>120</v>
      </c>
    </row>
    <row r="15" customFormat="false" ht="15" hidden="false" customHeight="false" outlineLevel="0" collapsed="false">
      <c r="A15" s="10" t="s">
        <v>818</v>
      </c>
      <c r="B15" s="10" t="n">
        <v>4</v>
      </c>
      <c r="C15" s="11" t="s">
        <v>1777</v>
      </c>
      <c r="D15" s="10" t="s">
        <v>1784</v>
      </c>
      <c r="E15" s="11"/>
      <c r="F15" s="11"/>
    </row>
    <row r="16" customFormat="false" ht="15" hidden="false" customHeight="false" outlineLevel="0" collapsed="false">
      <c r="A16" s="10" t="s">
        <v>829</v>
      </c>
      <c r="B16" s="10" t="n">
        <v>1</v>
      </c>
      <c r="C16" s="11" t="s">
        <v>1777</v>
      </c>
      <c r="D16" s="10" t="s">
        <v>1785</v>
      </c>
      <c r="E16" s="11"/>
      <c r="F16" s="11"/>
    </row>
    <row r="17" customFormat="false" ht="15" hidden="false" customHeight="false" outlineLevel="0" collapsed="false">
      <c r="A17" s="10" t="s">
        <v>829</v>
      </c>
      <c r="B17" s="10" t="n">
        <v>2</v>
      </c>
      <c r="C17" s="11" t="s">
        <v>1775</v>
      </c>
      <c r="D17" s="10" t="s">
        <v>1779</v>
      </c>
      <c r="E17" s="11" t="n">
        <v>300</v>
      </c>
      <c r="F17" s="11"/>
    </row>
    <row r="18" customFormat="false" ht="15" hidden="false" customHeight="false" outlineLevel="0" collapsed="false">
      <c r="A18" s="10" t="s">
        <v>829</v>
      </c>
      <c r="B18" s="10" t="n">
        <v>3</v>
      </c>
      <c r="C18" s="11" t="s">
        <v>1777</v>
      </c>
      <c r="D18" s="10" t="s">
        <v>1783</v>
      </c>
      <c r="E18" s="11"/>
      <c r="F18" s="11"/>
    </row>
    <row r="19" customFormat="false" ht="15" hidden="false" customHeight="false" outlineLevel="0" collapsed="false">
      <c r="A19" s="10" t="s">
        <v>829</v>
      </c>
      <c r="B19" s="10" t="n">
        <v>4</v>
      </c>
      <c r="C19" s="11" t="s">
        <v>1775</v>
      </c>
      <c r="D19" s="10" t="s">
        <v>1779</v>
      </c>
      <c r="E19" s="11" t="n">
        <v>60</v>
      </c>
      <c r="F19" s="11" t="n">
        <v>120</v>
      </c>
    </row>
    <row r="20" customFormat="false" ht="15" hidden="false" customHeight="false" outlineLevel="0" collapsed="false">
      <c r="A20" s="10" t="s">
        <v>829</v>
      </c>
      <c r="B20" s="10" t="n">
        <v>5</v>
      </c>
      <c r="C20" s="11" t="s">
        <v>1777</v>
      </c>
      <c r="D20" s="10" t="s">
        <v>1780</v>
      </c>
      <c r="E20" s="11"/>
      <c r="F20" s="11"/>
    </row>
    <row r="21" customFormat="false" ht="15" hidden="false" customHeight="false" outlineLevel="0" collapsed="false">
      <c r="A21" s="10" t="s">
        <v>829</v>
      </c>
      <c r="B21" s="10" t="n">
        <v>6</v>
      </c>
      <c r="C21" s="11" t="s">
        <v>1781</v>
      </c>
      <c r="D21" s="10" t="s">
        <v>1786</v>
      </c>
      <c r="E21" s="11" t="n">
        <v>120</v>
      </c>
      <c r="F21" s="11"/>
    </row>
    <row r="22" customFormat="false" ht="15" hidden="false" customHeight="false" outlineLevel="0" collapsed="false">
      <c r="A22" s="10" t="s">
        <v>836</v>
      </c>
      <c r="B22" s="10" t="n">
        <v>1</v>
      </c>
      <c r="C22" s="11" t="s">
        <v>1777</v>
      </c>
      <c r="D22" s="10" t="s">
        <v>1787</v>
      </c>
      <c r="E22" s="11"/>
      <c r="F22" s="11"/>
    </row>
    <row r="23" customFormat="false" ht="15" hidden="false" customHeight="false" outlineLevel="0" collapsed="false">
      <c r="A23" s="10" t="s">
        <v>836</v>
      </c>
      <c r="B23" s="10" t="n">
        <v>2</v>
      </c>
      <c r="C23" s="11" t="s">
        <v>1775</v>
      </c>
      <c r="D23" s="10" t="s">
        <v>1779</v>
      </c>
      <c r="E23" s="11" t="n">
        <v>450</v>
      </c>
      <c r="F23" s="11"/>
    </row>
    <row r="24" customFormat="false" ht="15" hidden="false" customHeight="false" outlineLevel="0" collapsed="false">
      <c r="A24" s="10" t="s">
        <v>836</v>
      </c>
      <c r="B24" s="10" t="n">
        <v>3</v>
      </c>
      <c r="C24" s="11" t="s">
        <v>1781</v>
      </c>
      <c r="D24" s="10" t="s">
        <v>1781</v>
      </c>
      <c r="E24" s="11" t="n">
        <v>60</v>
      </c>
      <c r="F24" s="11"/>
    </row>
    <row r="25" customFormat="false" ht="15" hidden="false" customHeight="false" outlineLevel="0" collapsed="false">
      <c r="A25" s="10" t="s">
        <v>844</v>
      </c>
      <c r="B25" s="10" t="n">
        <v>1</v>
      </c>
      <c r="C25" s="11" t="s">
        <v>1775</v>
      </c>
      <c r="D25" s="10" t="s">
        <v>1788</v>
      </c>
      <c r="E25" s="11" t="n">
        <v>330</v>
      </c>
      <c r="F25" s="11"/>
    </row>
    <row r="26" customFormat="false" ht="15" hidden="false" customHeight="false" outlineLevel="0" collapsed="false">
      <c r="A26" s="10" t="s">
        <v>853</v>
      </c>
      <c r="B26" s="10" t="n">
        <v>1</v>
      </c>
      <c r="C26" s="11" t="s">
        <v>1777</v>
      </c>
      <c r="D26" s="10" t="s">
        <v>1789</v>
      </c>
      <c r="E26" s="11"/>
      <c r="F26" s="11"/>
    </row>
    <row r="27" customFormat="false" ht="15" hidden="false" customHeight="false" outlineLevel="0" collapsed="false">
      <c r="A27" s="10" t="s">
        <v>853</v>
      </c>
      <c r="B27" s="10" t="n">
        <v>2</v>
      </c>
      <c r="C27" s="11" t="s">
        <v>1775</v>
      </c>
      <c r="D27" s="10" t="s">
        <v>1779</v>
      </c>
      <c r="E27" s="11" t="n">
        <v>210</v>
      </c>
      <c r="F27" s="11"/>
    </row>
    <row r="28" customFormat="false" ht="15" hidden="false" customHeight="false" outlineLevel="0" collapsed="false">
      <c r="A28" s="10" t="s">
        <v>853</v>
      </c>
      <c r="B28" s="10" t="n">
        <v>3</v>
      </c>
      <c r="C28" s="11" t="s">
        <v>1777</v>
      </c>
      <c r="D28" s="10" t="s">
        <v>1783</v>
      </c>
      <c r="E28" s="11"/>
      <c r="F28" s="11"/>
    </row>
    <row r="29" customFormat="false" ht="15" hidden="false" customHeight="false" outlineLevel="0" collapsed="false">
      <c r="A29" s="10" t="s">
        <v>853</v>
      </c>
      <c r="B29" s="10" t="n">
        <v>4</v>
      </c>
      <c r="C29" s="11" t="s">
        <v>1775</v>
      </c>
      <c r="D29" s="10" t="s">
        <v>1779</v>
      </c>
      <c r="E29" s="11" t="n">
        <v>90</v>
      </c>
      <c r="F29" s="11"/>
    </row>
    <row r="30" customFormat="false" ht="15" hidden="false" customHeight="false" outlineLevel="0" collapsed="false">
      <c r="A30" s="10" t="s">
        <v>853</v>
      </c>
      <c r="B30" s="10" t="n">
        <v>5</v>
      </c>
      <c r="C30" s="11" t="s">
        <v>1781</v>
      </c>
      <c r="D30" s="10" t="s">
        <v>1790</v>
      </c>
      <c r="E30" s="11" t="n">
        <v>60</v>
      </c>
      <c r="F30" s="11"/>
    </row>
    <row r="31" customFormat="false" ht="15" hidden="false" customHeight="false" outlineLevel="0" collapsed="false">
      <c r="A31" s="10" t="s">
        <v>861</v>
      </c>
      <c r="B31" s="10" t="n">
        <v>1</v>
      </c>
      <c r="C31" s="11" t="s">
        <v>1777</v>
      </c>
      <c r="D31" s="10" t="s">
        <v>1791</v>
      </c>
      <c r="E31" s="11"/>
      <c r="F31" s="11"/>
    </row>
    <row r="32" customFormat="false" ht="15" hidden="false" customHeight="false" outlineLevel="0" collapsed="false">
      <c r="A32" s="10" t="s">
        <v>861</v>
      </c>
      <c r="B32" s="10" t="n">
        <v>2</v>
      </c>
      <c r="C32" s="11" t="s">
        <v>1777</v>
      </c>
      <c r="D32" s="10" t="s">
        <v>1792</v>
      </c>
      <c r="E32" s="11"/>
      <c r="F32" s="11"/>
    </row>
    <row r="33" customFormat="false" ht="15" hidden="false" customHeight="false" outlineLevel="0" collapsed="false">
      <c r="A33" s="10" t="s">
        <v>861</v>
      </c>
      <c r="B33" s="10" t="n">
        <v>3</v>
      </c>
      <c r="C33" s="11" t="s">
        <v>1775</v>
      </c>
      <c r="D33" s="10" t="s">
        <v>1779</v>
      </c>
      <c r="E33" s="11" t="n">
        <v>270</v>
      </c>
      <c r="F33" s="11"/>
    </row>
    <row r="34" customFormat="false" ht="15" hidden="false" customHeight="false" outlineLevel="0" collapsed="false">
      <c r="A34" s="10" t="s">
        <v>861</v>
      </c>
      <c r="B34" s="10" t="n">
        <v>4</v>
      </c>
      <c r="C34" s="11" t="s">
        <v>1777</v>
      </c>
      <c r="D34" s="10" t="s">
        <v>1793</v>
      </c>
      <c r="E34" s="11"/>
      <c r="F34" s="11"/>
    </row>
    <row r="35" customFormat="false" ht="15" hidden="false" customHeight="false" outlineLevel="0" collapsed="false">
      <c r="A35" s="10" t="s">
        <v>861</v>
      </c>
      <c r="B35" s="10" t="n">
        <v>5</v>
      </c>
      <c r="C35" s="11" t="s">
        <v>1775</v>
      </c>
      <c r="D35" s="10" t="s">
        <v>1779</v>
      </c>
      <c r="E35" s="11" t="n">
        <v>150</v>
      </c>
      <c r="F35" s="11" t="n">
        <v>180</v>
      </c>
    </row>
    <row r="36" customFormat="false" ht="15" hidden="false" customHeight="false" outlineLevel="0" collapsed="false">
      <c r="A36" s="10" t="s">
        <v>861</v>
      </c>
      <c r="B36" s="10" t="n">
        <v>6</v>
      </c>
      <c r="C36" s="11" t="s">
        <v>1777</v>
      </c>
      <c r="D36" s="10" t="s">
        <v>1780</v>
      </c>
      <c r="E36" s="11"/>
      <c r="F36" s="11"/>
    </row>
    <row r="37" customFormat="false" ht="15" hidden="false" customHeight="false" outlineLevel="0" collapsed="false">
      <c r="A37" s="10" t="s">
        <v>861</v>
      </c>
      <c r="B37" s="10" t="n">
        <v>7</v>
      </c>
      <c r="C37" s="11" t="s">
        <v>1781</v>
      </c>
      <c r="D37" s="10" t="s">
        <v>1794</v>
      </c>
      <c r="E37" s="11" t="n">
        <v>60</v>
      </c>
      <c r="F37" s="11"/>
    </row>
    <row r="38" customFormat="false" ht="15" hidden="false" customHeight="false" outlineLevel="0" collapsed="false">
      <c r="A38" s="10" t="s">
        <v>869</v>
      </c>
      <c r="B38" s="10" t="n">
        <v>1</v>
      </c>
      <c r="C38" s="11" t="s">
        <v>1775</v>
      </c>
      <c r="D38" s="10" t="s">
        <v>1776</v>
      </c>
      <c r="E38" s="11" t="n">
        <v>270</v>
      </c>
      <c r="F38" s="11" t="n">
        <v>330</v>
      </c>
    </row>
    <row r="39" customFormat="false" ht="15" hidden="false" customHeight="false" outlineLevel="0" collapsed="false">
      <c r="A39" s="10" t="s">
        <v>869</v>
      </c>
      <c r="B39" s="10" t="n">
        <v>2</v>
      </c>
      <c r="C39" s="11" t="s">
        <v>1781</v>
      </c>
      <c r="D39" s="10" t="s">
        <v>1795</v>
      </c>
      <c r="E39" s="11" t="n">
        <v>60</v>
      </c>
      <c r="F39" s="11"/>
    </row>
    <row r="40" customFormat="false" ht="15" hidden="false" customHeight="false" outlineLevel="0" collapsed="false">
      <c r="A40" s="10" t="s">
        <v>869</v>
      </c>
      <c r="B40" s="10" t="n">
        <v>3</v>
      </c>
      <c r="C40" s="11" t="s">
        <v>1777</v>
      </c>
      <c r="D40" s="10" t="s">
        <v>1796</v>
      </c>
      <c r="E40" s="11"/>
      <c r="F40" s="11"/>
    </row>
    <row r="41" customFormat="false" ht="15" hidden="false" customHeight="false" outlineLevel="0" collapsed="false">
      <c r="A41" s="10" t="s">
        <v>877</v>
      </c>
      <c r="B41" s="10" t="n">
        <v>1</v>
      </c>
      <c r="C41" s="11" t="s">
        <v>1775</v>
      </c>
      <c r="D41" s="10" t="s">
        <v>1776</v>
      </c>
      <c r="E41" s="11" t="n">
        <v>270</v>
      </c>
      <c r="F41" s="11" t="n">
        <v>360</v>
      </c>
    </row>
    <row r="42" customFormat="false" ht="15" hidden="false" customHeight="false" outlineLevel="0" collapsed="false">
      <c r="A42" s="10" t="s">
        <v>877</v>
      </c>
      <c r="B42" s="10" t="n">
        <v>2</v>
      </c>
      <c r="C42" s="11" t="s">
        <v>1777</v>
      </c>
      <c r="D42" s="10" t="s">
        <v>1780</v>
      </c>
      <c r="E42" s="11"/>
      <c r="F42" s="11"/>
    </row>
    <row r="43" customFormat="false" ht="15" hidden="false" customHeight="false" outlineLevel="0" collapsed="false">
      <c r="A43" s="10" t="s">
        <v>877</v>
      </c>
      <c r="B43" s="10" t="n">
        <v>3</v>
      </c>
      <c r="C43" s="11" t="s">
        <v>1781</v>
      </c>
      <c r="D43" s="10" t="s">
        <v>1781</v>
      </c>
      <c r="E43" s="11" t="n">
        <v>60</v>
      </c>
      <c r="F43" s="11"/>
    </row>
    <row r="44" customFormat="false" ht="15" hidden="false" customHeight="false" outlineLevel="0" collapsed="false">
      <c r="A44" s="10" t="s">
        <v>885</v>
      </c>
      <c r="B44" s="10" t="n">
        <v>1</v>
      </c>
      <c r="C44" s="11" t="s">
        <v>1775</v>
      </c>
      <c r="D44" s="10" t="s">
        <v>1797</v>
      </c>
      <c r="E44" s="11" t="n">
        <v>240</v>
      </c>
      <c r="F44" s="11" t="n">
        <v>270</v>
      </c>
    </row>
    <row r="45" customFormat="false" ht="15" hidden="false" customHeight="false" outlineLevel="0" collapsed="false">
      <c r="A45" s="10" t="s">
        <v>885</v>
      </c>
      <c r="B45" s="10" t="n">
        <v>2</v>
      </c>
      <c r="C45" s="11" t="s">
        <v>1777</v>
      </c>
      <c r="D45" s="10" t="s">
        <v>1798</v>
      </c>
      <c r="E45" s="11"/>
      <c r="F45" s="11"/>
    </row>
    <row r="46" customFormat="false" ht="15" hidden="false" customHeight="false" outlineLevel="0" collapsed="false">
      <c r="A46" s="10" t="s">
        <v>885</v>
      </c>
      <c r="B46" s="10" t="n">
        <v>3</v>
      </c>
      <c r="C46" s="11" t="s">
        <v>1777</v>
      </c>
      <c r="D46" s="10" t="s">
        <v>1799</v>
      </c>
      <c r="E46" s="11"/>
      <c r="F46" s="11"/>
    </row>
    <row r="47" customFormat="false" ht="15" hidden="false" customHeight="false" outlineLevel="0" collapsed="false">
      <c r="A47" s="10" t="s">
        <v>898</v>
      </c>
      <c r="B47" s="10" t="n">
        <v>1</v>
      </c>
      <c r="C47" s="11" t="s">
        <v>1777</v>
      </c>
      <c r="D47" s="10" t="s">
        <v>1800</v>
      </c>
      <c r="E47" s="11"/>
      <c r="F47" s="11"/>
    </row>
    <row r="48" customFormat="false" ht="15" hidden="false" customHeight="false" outlineLevel="0" collapsed="false">
      <c r="A48" s="10" t="s">
        <v>898</v>
      </c>
      <c r="B48" s="10" t="n">
        <v>2</v>
      </c>
      <c r="C48" s="11" t="s">
        <v>1777</v>
      </c>
      <c r="D48" s="10" t="s">
        <v>1801</v>
      </c>
      <c r="E48" s="11"/>
      <c r="F48" s="11"/>
    </row>
    <row r="49" customFormat="false" ht="15" hidden="false" customHeight="false" outlineLevel="0" collapsed="false">
      <c r="A49" s="10" t="s">
        <v>898</v>
      </c>
      <c r="B49" s="10" t="n">
        <v>3</v>
      </c>
      <c r="C49" s="11" t="s">
        <v>1775</v>
      </c>
      <c r="D49" s="10" t="s">
        <v>1779</v>
      </c>
      <c r="E49" s="11" t="n">
        <v>300</v>
      </c>
      <c r="F49" s="11" t="n">
        <v>390</v>
      </c>
    </row>
    <row r="50" customFormat="false" ht="15" hidden="false" customHeight="false" outlineLevel="0" collapsed="false">
      <c r="A50" s="10" t="s">
        <v>898</v>
      </c>
      <c r="B50" s="10" t="n">
        <v>4</v>
      </c>
      <c r="C50" s="11" t="s">
        <v>1781</v>
      </c>
      <c r="D50" s="10" t="s">
        <v>1802</v>
      </c>
      <c r="E50" s="11" t="n">
        <v>300</v>
      </c>
      <c r="F50" s="11"/>
    </row>
    <row r="51" customFormat="false" ht="15" hidden="false" customHeight="false" outlineLevel="0" collapsed="false">
      <c r="A51" s="10" t="s">
        <v>898</v>
      </c>
      <c r="B51" s="10" t="n">
        <v>5</v>
      </c>
      <c r="C51" s="11" t="s">
        <v>1777</v>
      </c>
      <c r="D51" s="10" t="s">
        <v>1780</v>
      </c>
      <c r="E51" s="11"/>
      <c r="F51" s="11"/>
    </row>
    <row r="52" customFormat="false" ht="15" hidden="false" customHeight="false" outlineLevel="0" collapsed="false">
      <c r="A52" s="10" t="s">
        <v>907</v>
      </c>
      <c r="B52" s="10" t="n">
        <v>1</v>
      </c>
      <c r="C52" s="11" t="s">
        <v>1777</v>
      </c>
      <c r="D52" s="10" t="s">
        <v>1800</v>
      </c>
      <c r="E52" s="11"/>
      <c r="F52" s="11"/>
    </row>
    <row r="53" customFormat="false" ht="15" hidden="false" customHeight="false" outlineLevel="0" collapsed="false">
      <c r="A53" s="10" t="s">
        <v>907</v>
      </c>
      <c r="B53" s="10" t="n">
        <v>2</v>
      </c>
      <c r="C53" s="11" t="s">
        <v>1777</v>
      </c>
      <c r="D53" s="10" t="s">
        <v>1803</v>
      </c>
      <c r="E53" s="11"/>
      <c r="F53" s="11"/>
    </row>
    <row r="54" customFormat="false" ht="15" hidden="false" customHeight="false" outlineLevel="0" collapsed="false">
      <c r="A54" s="10" t="s">
        <v>907</v>
      </c>
      <c r="B54" s="10" t="n">
        <v>3</v>
      </c>
      <c r="C54" s="11" t="s">
        <v>1775</v>
      </c>
      <c r="D54" s="10" t="s">
        <v>1779</v>
      </c>
      <c r="E54" s="11" t="n">
        <v>540</v>
      </c>
      <c r="F54" s="11" t="n">
        <v>600</v>
      </c>
    </row>
    <row r="55" customFormat="false" ht="15" hidden="false" customHeight="false" outlineLevel="0" collapsed="false">
      <c r="A55" s="10" t="s">
        <v>907</v>
      </c>
      <c r="B55" s="10" t="n">
        <v>4</v>
      </c>
      <c r="C55" s="11" t="s">
        <v>1781</v>
      </c>
      <c r="D55" s="10" t="s">
        <v>1781</v>
      </c>
      <c r="E55" s="11" t="n">
        <v>300</v>
      </c>
      <c r="F55" s="11"/>
    </row>
    <row r="56" customFormat="false" ht="15" hidden="false" customHeight="false" outlineLevel="0" collapsed="false">
      <c r="A56" s="10" t="s">
        <v>907</v>
      </c>
      <c r="B56" s="10" t="n">
        <v>5</v>
      </c>
      <c r="C56" s="11" t="s">
        <v>1777</v>
      </c>
      <c r="D56" s="10" t="s">
        <v>1780</v>
      </c>
      <c r="E56" s="11"/>
      <c r="F56" s="11"/>
    </row>
    <row r="57" customFormat="false" ht="15" hidden="false" customHeight="false" outlineLevel="0" collapsed="false">
      <c r="A57" s="10" t="s">
        <v>916</v>
      </c>
      <c r="B57" s="10" t="n">
        <v>1</v>
      </c>
      <c r="C57" s="11" t="s">
        <v>1777</v>
      </c>
      <c r="D57" s="10" t="s">
        <v>1804</v>
      </c>
      <c r="E57" s="11"/>
      <c r="F57" s="11"/>
    </row>
    <row r="58" customFormat="false" ht="15" hidden="false" customHeight="false" outlineLevel="0" collapsed="false">
      <c r="A58" s="10" t="s">
        <v>916</v>
      </c>
      <c r="B58" s="10" t="n">
        <v>2</v>
      </c>
      <c r="C58" s="11" t="s">
        <v>1775</v>
      </c>
      <c r="D58" s="10" t="s">
        <v>1797</v>
      </c>
      <c r="E58" s="11" t="n">
        <v>210</v>
      </c>
      <c r="F58" s="11"/>
    </row>
    <row r="59" customFormat="false" ht="15" hidden="false" customHeight="false" outlineLevel="0" collapsed="false">
      <c r="A59" s="10" t="s">
        <v>916</v>
      </c>
      <c r="B59" s="10" t="n">
        <v>3</v>
      </c>
      <c r="C59" s="11" t="s">
        <v>1777</v>
      </c>
      <c r="D59" s="10" t="s">
        <v>1805</v>
      </c>
      <c r="E59" s="11"/>
      <c r="F59" s="11"/>
    </row>
    <row r="60" customFormat="false" ht="15" hidden="false" customHeight="false" outlineLevel="0" collapsed="false">
      <c r="A60" s="10" t="s">
        <v>935</v>
      </c>
      <c r="B60" s="10" t="n">
        <v>1</v>
      </c>
      <c r="C60" s="11" t="s">
        <v>1777</v>
      </c>
      <c r="D60" s="10" t="s">
        <v>1806</v>
      </c>
      <c r="E60" s="11"/>
      <c r="F60" s="11"/>
    </row>
    <row r="61" customFormat="false" ht="15" hidden="false" customHeight="false" outlineLevel="0" collapsed="false">
      <c r="A61" s="10" t="s">
        <v>935</v>
      </c>
      <c r="B61" s="10" t="n">
        <v>2</v>
      </c>
      <c r="C61" s="11" t="s">
        <v>1775</v>
      </c>
      <c r="D61" s="10" t="s">
        <v>1797</v>
      </c>
      <c r="E61" s="11" t="n">
        <v>135</v>
      </c>
      <c r="F61" s="11"/>
    </row>
    <row r="62" customFormat="false" ht="15" hidden="false" customHeight="false" outlineLevel="0" collapsed="false">
      <c r="A62" s="10" t="s">
        <v>942</v>
      </c>
      <c r="B62" s="10" t="n">
        <v>1</v>
      </c>
      <c r="C62" s="11" t="s">
        <v>1777</v>
      </c>
      <c r="D62" s="10" t="s">
        <v>1807</v>
      </c>
      <c r="E62" s="11"/>
      <c r="F62" s="11"/>
    </row>
    <row r="63" customFormat="false" ht="15" hidden="false" customHeight="false" outlineLevel="0" collapsed="false">
      <c r="A63" s="10" t="s">
        <v>942</v>
      </c>
      <c r="B63" s="10" t="n">
        <v>2</v>
      </c>
      <c r="C63" s="11" t="s">
        <v>1775</v>
      </c>
      <c r="D63" s="10" t="s">
        <v>1779</v>
      </c>
      <c r="E63" s="11" t="n">
        <v>90</v>
      </c>
      <c r="F63" s="11"/>
    </row>
    <row r="64" customFormat="false" ht="15" hidden="false" customHeight="false" outlineLevel="0" collapsed="false">
      <c r="A64" s="10" t="s">
        <v>942</v>
      </c>
      <c r="B64" s="10" t="n">
        <v>3</v>
      </c>
      <c r="C64" s="11" t="s">
        <v>1781</v>
      </c>
      <c r="D64" s="10" t="s">
        <v>1808</v>
      </c>
      <c r="E64" s="11" t="n">
        <v>60</v>
      </c>
      <c r="F64" s="11"/>
    </row>
    <row r="65" customFormat="false" ht="15" hidden="false" customHeight="false" outlineLevel="0" collapsed="false">
      <c r="A65" s="10" t="s">
        <v>942</v>
      </c>
      <c r="B65" s="10" t="n">
        <v>4</v>
      </c>
      <c r="C65" s="11" t="s">
        <v>1775</v>
      </c>
      <c r="D65" s="10" t="s">
        <v>1809</v>
      </c>
      <c r="E65" s="11" t="n">
        <v>30</v>
      </c>
      <c r="F65" s="11"/>
    </row>
    <row r="66" customFormat="false" ht="15" hidden="false" customHeight="false" outlineLevel="0" collapsed="false">
      <c r="A66" s="10" t="s">
        <v>942</v>
      </c>
      <c r="B66" s="10" t="n">
        <v>5</v>
      </c>
      <c r="C66" s="11" t="s">
        <v>1777</v>
      </c>
      <c r="D66" s="10" t="s">
        <v>1810</v>
      </c>
      <c r="E66" s="11"/>
      <c r="F66" s="11"/>
    </row>
    <row r="67" customFormat="false" ht="15" hidden="false" customHeight="false" outlineLevel="0" collapsed="false">
      <c r="A67" s="10" t="s">
        <v>959</v>
      </c>
      <c r="B67" s="10" t="n">
        <v>1</v>
      </c>
      <c r="C67" s="11" t="s">
        <v>1777</v>
      </c>
      <c r="D67" s="10" t="s">
        <v>1811</v>
      </c>
      <c r="E67" s="11"/>
      <c r="F67" s="11"/>
    </row>
    <row r="68" customFormat="false" ht="15" hidden="false" customHeight="false" outlineLevel="0" collapsed="false">
      <c r="A68" s="10" t="s">
        <v>959</v>
      </c>
      <c r="B68" s="10" t="n">
        <v>2</v>
      </c>
      <c r="C68" s="11" t="s">
        <v>1775</v>
      </c>
      <c r="D68" s="10" t="s">
        <v>1812</v>
      </c>
      <c r="E68" s="11" t="n">
        <v>60</v>
      </c>
      <c r="F68" s="11"/>
    </row>
    <row r="69" customFormat="false" ht="15" hidden="false" customHeight="false" outlineLevel="0" collapsed="false">
      <c r="A69" s="10" t="s">
        <v>959</v>
      </c>
      <c r="B69" s="10" t="n">
        <v>3</v>
      </c>
      <c r="C69" s="11" t="s">
        <v>1781</v>
      </c>
      <c r="D69" s="10" t="s">
        <v>1813</v>
      </c>
      <c r="E69" s="11" t="n">
        <v>60</v>
      </c>
      <c r="F69" s="11"/>
    </row>
    <row r="70" customFormat="false" ht="15" hidden="false" customHeight="false" outlineLevel="0" collapsed="false">
      <c r="A70" s="10" t="s">
        <v>959</v>
      </c>
      <c r="B70" s="10" t="n">
        <v>4</v>
      </c>
      <c r="C70" s="11" t="s">
        <v>1777</v>
      </c>
      <c r="D70" s="10" t="s">
        <v>1814</v>
      </c>
      <c r="E70" s="11"/>
      <c r="F70" s="11"/>
    </row>
    <row r="71" customFormat="false" ht="23.85" hidden="false" customHeight="false" outlineLevel="0" collapsed="false">
      <c r="A71" s="10" t="s">
        <v>980</v>
      </c>
      <c r="B71" s="10" t="n">
        <v>1</v>
      </c>
      <c r="C71" s="11" t="s">
        <v>1777</v>
      </c>
      <c r="D71" s="10" t="s">
        <v>1815</v>
      </c>
      <c r="E71" s="11"/>
      <c r="F71" s="11"/>
    </row>
    <row r="72" customFormat="false" ht="15" hidden="false" customHeight="false" outlineLevel="0" collapsed="false">
      <c r="A72" s="10" t="s">
        <v>980</v>
      </c>
      <c r="B72" s="10" t="n">
        <v>2</v>
      </c>
      <c r="C72" s="11" t="s">
        <v>1777</v>
      </c>
      <c r="D72" s="10" t="s">
        <v>1816</v>
      </c>
      <c r="E72" s="11"/>
      <c r="F72" s="11"/>
    </row>
    <row r="73" customFormat="false" ht="15" hidden="false" customHeight="false" outlineLevel="0" collapsed="false">
      <c r="A73" s="10" t="s">
        <v>980</v>
      </c>
      <c r="B73" s="10" t="n">
        <v>3</v>
      </c>
      <c r="C73" s="11" t="s">
        <v>1781</v>
      </c>
      <c r="D73" s="10" t="s">
        <v>1781</v>
      </c>
      <c r="E73" s="11" t="n">
        <v>60</v>
      </c>
      <c r="F73" s="11" t="n">
        <v>120</v>
      </c>
    </row>
    <row r="74" customFormat="false" ht="15" hidden="false" customHeight="false" outlineLevel="0" collapsed="false">
      <c r="A74" s="10" t="s">
        <v>980</v>
      </c>
      <c r="B74" s="10" t="n">
        <v>4</v>
      </c>
      <c r="C74" s="11" t="s">
        <v>1777</v>
      </c>
      <c r="D74" s="10" t="s">
        <v>1817</v>
      </c>
      <c r="E74" s="11"/>
      <c r="F74" s="11"/>
    </row>
    <row r="75" customFormat="false" ht="23.85" hidden="false" customHeight="false" outlineLevel="0" collapsed="false">
      <c r="A75" s="10" t="s">
        <v>990</v>
      </c>
      <c r="B75" s="10" t="n">
        <v>1</v>
      </c>
      <c r="C75" s="11" t="s">
        <v>1777</v>
      </c>
      <c r="D75" s="10" t="s">
        <v>1818</v>
      </c>
      <c r="E75" s="11"/>
      <c r="F75" s="11"/>
    </row>
    <row r="76" customFormat="false" ht="15" hidden="false" customHeight="false" outlineLevel="0" collapsed="false">
      <c r="A76" s="10" t="s">
        <v>990</v>
      </c>
      <c r="B76" s="10" t="n">
        <v>2</v>
      </c>
      <c r="C76" s="11" t="s">
        <v>1777</v>
      </c>
      <c r="D76" s="10" t="s">
        <v>1816</v>
      </c>
      <c r="E76" s="11"/>
      <c r="F76" s="11"/>
    </row>
    <row r="77" customFormat="false" ht="15" hidden="false" customHeight="false" outlineLevel="0" collapsed="false">
      <c r="A77" s="10" t="s">
        <v>990</v>
      </c>
      <c r="B77" s="10" t="n">
        <v>3</v>
      </c>
      <c r="C77" s="11" t="s">
        <v>1781</v>
      </c>
      <c r="D77" s="10" t="s">
        <v>1781</v>
      </c>
      <c r="E77" s="11" t="n">
        <v>60</v>
      </c>
      <c r="F77" s="11" t="n">
        <v>120</v>
      </c>
    </row>
    <row r="78" customFormat="false" ht="15" hidden="false" customHeight="false" outlineLevel="0" collapsed="false">
      <c r="A78" s="10" t="s">
        <v>990</v>
      </c>
      <c r="B78" s="10" t="n">
        <v>4</v>
      </c>
      <c r="C78" s="11" t="s">
        <v>1777</v>
      </c>
      <c r="D78" s="10" t="s">
        <v>1817</v>
      </c>
      <c r="E78" s="11"/>
      <c r="F78" s="11"/>
    </row>
    <row r="79" customFormat="false" ht="23.85" hidden="false" customHeight="false" outlineLevel="0" collapsed="false">
      <c r="A79" s="10" t="s">
        <v>996</v>
      </c>
      <c r="B79" s="10" t="n">
        <v>1</v>
      </c>
      <c r="C79" s="11" t="s">
        <v>1777</v>
      </c>
      <c r="D79" s="10" t="s">
        <v>1818</v>
      </c>
      <c r="E79" s="11"/>
      <c r="F79" s="11"/>
    </row>
    <row r="80" customFormat="false" ht="15" hidden="false" customHeight="false" outlineLevel="0" collapsed="false">
      <c r="A80" s="10" t="s">
        <v>996</v>
      </c>
      <c r="B80" s="10" t="n">
        <v>2</v>
      </c>
      <c r="C80" s="11" t="s">
        <v>1775</v>
      </c>
      <c r="D80" s="10" t="s">
        <v>1819</v>
      </c>
      <c r="E80" s="11" t="n">
        <v>300</v>
      </c>
      <c r="F80" s="11" t="n">
        <v>360</v>
      </c>
    </row>
    <row r="81" customFormat="false" ht="15" hidden="false" customHeight="false" outlineLevel="0" collapsed="false">
      <c r="A81" s="10" t="s">
        <v>996</v>
      </c>
      <c r="B81" s="10" t="n">
        <v>3</v>
      </c>
      <c r="C81" s="11" t="s">
        <v>1781</v>
      </c>
      <c r="D81" s="10" t="s">
        <v>1781</v>
      </c>
      <c r="E81" s="11" t="n">
        <v>60</v>
      </c>
      <c r="F81" s="11"/>
    </row>
    <row r="82" customFormat="false" ht="15" hidden="false" customHeight="false" outlineLevel="0" collapsed="false">
      <c r="A82" s="10" t="s">
        <v>996</v>
      </c>
      <c r="B82" s="10" t="n">
        <v>4</v>
      </c>
      <c r="C82" s="11" t="s">
        <v>1777</v>
      </c>
      <c r="D82" s="10" t="s">
        <v>1820</v>
      </c>
      <c r="E82" s="11"/>
      <c r="F82" s="11"/>
    </row>
    <row r="83" customFormat="false" ht="15" hidden="false" customHeight="false" outlineLevel="0" collapsed="false">
      <c r="A83" s="10" t="s">
        <v>1004</v>
      </c>
      <c r="B83" s="10" t="n">
        <v>1</v>
      </c>
      <c r="C83" s="11" t="s">
        <v>1777</v>
      </c>
      <c r="D83" s="10" t="s">
        <v>1821</v>
      </c>
      <c r="E83" s="11"/>
      <c r="F83" s="11"/>
    </row>
    <row r="84" customFormat="false" ht="15" hidden="false" customHeight="false" outlineLevel="0" collapsed="false">
      <c r="A84" s="10" t="s">
        <v>1004</v>
      </c>
      <c r="B84" s="10" t="n">
        <v>2</v>
      </c>
      <c r="C84" s="11" t="s">
        <v>1775</v>
      </c>
      <c r="D84" s="10" t="s">
        <v>1822</v>
      </c>
      <c r="E84" s="11" t="n">
        <v>330</v>
      </c>
      <c r="F84" s="11" t="n">
        <v>360</v>
      </c>
    </row>
    <row r="85" customFormat="false" ht="15" hidden="false" customHeight="false" outlineLevel="0" collapsed="false">
      <c r="A85" s="10" t="s">
        <v>1004</v>
      </c>
      <c r="B85" s="10" t="n">
        <v>3</v>
      </c>
      <c r="C85" s="11" t="s">
        <v>1781</v>
      </c>
      <c r="D85" s="10" t="s">
        <v>1795</v>
      </c>
      <c r="E85" s="11" t="n">
        <v>60</v>
      </c>
      <c r="F85" s="11"/>
    </row>
    <row r="86" customFormat="false" ht="15" hidden="false" customHeight="false" outlineLevel="0" collapsed="false">
      <c r="A86" s="10" t="s">
        <v>1004</v>
      </c>
      <c r="B86" s="10" t="n">
        <v>4</v>
      </c>
      <c r="C86" s="11" t="s">
        <v>1777</v>
      </c>
      <c r="D86" s="10" t="s">
        <v>1823</v>
      </c>
      <c r="E86" s="11"/>
      <c r="F86" s="11"/>
    </row>
    <row r="87" customFormat="false" ht="15" hidden="false" customHeight="false" outlineLevel="0" collapsed="false">
      <c r="A87" s="10" t="s">
        <v>1013</v>
      </c>
      <c r="B87" s="10" t="n">
        <v>1</v>
      </c>
      <c r="C87" s="11" t="s">
        <v>1777</v>
      </c>
      <c r="D87" s="10" t="s">
        <v>1821</v>
      </c>
      <c r="E87" s="11"/>
      <c r="F87" s="11"/>
    </row>
    <row r="88" customFormat="false" ht="15" hidden="false" customHeight="false" outlineLevel="0" collapsed="false">
      <c r="A88" s="10" t="s">
        <v>1013</v>
      </c>
      <c r="B88" s="10" t="n">
        <v>2</v>
      </c>
      <c r="C88" s="11" t="s">
        <v>1775</v>
      </c>
      <c r="D88" s="10" t="s">
        <v>1822</v>
      </c>
      <c r="E88" s="11" t="n">
        <v>330</v>
      </c>
      <c r="F88" s="11" t="n">
        <v>360</v>
      </c>
    </row>
    <row r="89" customFormat="false" ht="15" hidden="false" customHeight="false" outlineLevel="0" collapsed="false">
      <c r="A89" s="10" t="s">
        <v>1013</v>
      </c>
      <c r="B89" s="10" t="n">
        <v>3</v>
      </c>
      <c r="C89" s="11" t="s">
        <v>1781</v>
      </c>
      <c r="D89" s="10" t="s">
        <v>1795</v>
      </c>
      <c r="E89" s="11" t="n">
        <v>60</v>
      </c>
      <c r="F89" s="11"/>
    </row>
    <row r="90" customFormat="false" ht="15" hidden="false" customHeight="false" outlineLevel="0" collapsed="false">
      <c r="A90" s="10" t="s">
        <v>1013</v>
      </c>
      <c r="B90" s="10" t="n">
        <v>4</v>
      </c>
      <c r="C90" s="11" t="s">
        <v>1777</v>
      </c>
      <c r="D90" s="10" t="s">
        <v>1823</v>
      </c>
      <c r="E90" s="11"/>
      <c r="F90" s="11"/>
    </row>
    <row r="91" customFormat="false" ht="15" hidden="false" customHeight="false" outlineLevel="0" collapsed="false">
      <c r="A91" s="10" t="s">
        <v>1018</v>
      </c>
      <c r="B91" s="10" t="n">
        <v>1</v>
      </c>
      <c r="C91" s="11" t="s">
        <v>1777</v>
      </c>
      <c r="D91" s="10" t="s">
        <v>1824</v>
      </c>
      <c r="E91" s="11"/>
      <c r="F91" s="11"/>
    </row>
    <row r="92" customFormat="false" ht="15" hidden="false" customHeight="false" outlineLevel="0" collapsed="false">
      <c r="A92" s="10" t="s">
        <v>1018</v>
      </c>
      <c r="B92" s="10" t="n">
        <v>2</v>
      </c>
      <c r="C92" s="11" t="s">
        <v>1777</v>
      </c>
      <c r="D92" s="10" t="s">
        <v>1816</v>
      </c>
      <c r="E92" s="11"/>
      <c r="F92" s="11"/>
    </row>
    <row r="93" customFormat="false" ht="15" hidden="false" customHeight="false" outlineLevel="0" collapsed="false">
      <c r="A93" s="10" t="s">
        <v>1018</v>
      </c>
      <c r="B93" s="10" t="n">
        <v>3</v>
      </c>
      <c r="C93" s="11" t="s">
        <v>1781</v>
      </c>
      <c r="D93" s="10" t="s">
        <v>1795</v>
      </c>
      <c r="E93" s="11" t="n">
        <v>60</v>
      </c>
      <c r="F93" s="11"/>
    </row>
    <row r="94" customFormat="false" ht="15" hidden="false" customHeight="false" outlineLevel="0" collapsed="false">
      <c r="A94" s="10" t="s">
        <v>1018</v>
      </c>
      <c r="B94" s="10" t="n">
        <v>4</v>
      </c>
      <c r="C94" s="11" t="s">
        <v>1777</v>
      </c>
      <c r="D94" s="10" t="s">
        <v>1825</v>
      </c>
      <c r="E94" s="11"/>
      <c r="F94" s="11"/>
    </row>
    <row r="95" customFormat="false" ht="15" hidden="false" customHeight="false" outlineLevel="0" collapsed="false">
      <c r="A95" s="10" t="s">
        <v>1026</v>
      </c>
      <c r="B95" s="10" t="n">
        <v>1</v>
      </c>
      <c r="C95" s="11" t="s">
        <v>1775</v>
      </c>
      <c r="D95" s="10" t="s">
        <v>1826</v>
      </c>
      <c r="E95" s="11" t="n">
        <v>90</v>
      </c>
      <c r="F95" s="11"/>
    </row>
    <row r="96" customFormat="false" ht="15" hidden="false" customHeight="false" outlineLevel="0" collapsed="false">
      <c r="A96" s="10" t="s">
        <v>1033</v>
      </c>
      <c r="B96" s="10" t="n">
        <v>1</v>
      </c>
      <c r="C96" s="11" t="s">
        <v>1775</v>
      </c>
      <c r="D96" s="10" t="s">
        <v>1826</v>
      </c>
      <c r="E96" s="11" t="n">
        <v>90</v>
      </c>
      <c r="F96" s="11"/>
    </row>
    <row r="97" customFormat="false" ht="15" hidden="false" customHeight="false" outlineLevel="0" collapsed="false">
      <c r="A97" s="10" t="s">
        <v>1056</v>
      </c>
      <c r="B97" s="10" t="n">
        <v>1</v>
      </c>
      <c r="C97" s="11" t="s">
        <v>1777</v>
      </c>
      <c r="D97" s="10" t="s">
        <v>1827</v>
      </c>
      <c r="E97" s="11"/>
      <c r="F97" s="11"/>
    </row>
    <row r="98" customFormat="false" ht="15" hidden="false" customHeight="false" outlineLevel="0" collapsed="false">
      <c r="A98" s="10" t="s">
        <v>1056</v>
      </c>
      <c r="B98" s="10" t="n">
        <v>2</v>
      </c>
      <c r="C98" s="11" t="s">
        <v>1775</v>
      </c>
      <c r="D98" s="10" t="s">
        <v>1828</v>
      </c>
      <c r="E98" s="11" t="n">
        <v>480</v>
      </c>
      <c r="F98" s="11"/>
    </row>
    <row r="99" customFormat="false" ht="15" hidden="false" customHeight="false" outlineLevel="0" collapsed="false">
      <c r="A99" s="10" t="s">
        <v>1056</v>
      </c>
      <c r="B99" s="10" t="n">
        <v>3</v>
      </c>
      <c r="C99" s="11" t="s">
        <v>1829</v>
      </c>
      <c r="D99" s="10" t="s">
        <v>1830</v>
      </c>
      <c r="E99" s="11" t="n">
        <v>1500</v>
      </c>
      <c r="F99" s="11" t="n">
        <v>1800</v>
      </c>
    </row>
    <row r="100" customFormat="false" ht="15" hidden="false" customHeight="false" outlineLevel="0" collapsed="false">
      <c r="A100" s="10" t="s">
        <v>1056</v>
      </c>
      <c r="B100" s="10" t="n">
        <v>4</v>
      </c>
      <c r="C100" s="11" t="s">
        <v>1781</v>
      </c>
      <c r="D100" s="10" t="s">
        <v>1831</v>
      </c>
      <c r="E100" s="11" t="n">
        <v>300</v>
      </c>
      <c r="F100" s="11"/>
    </row>
    <row r="101" customFormat="false" ht="15" hidden="false" customHeight="false" outlineLevel="0" collapsed="false">
      <c r="A101" s="10" t="s">
        <v>1065</v>
      </c>
      <c r="B101" s="10" t="n">
        <v>1</v>
      </c>
      <c r="C101" s="11" t="s">
        <v>1775</v>
      </c>
      <c r="D101" s="10" t="s">
        <v>1776</v>
      </c>
      <c r="E101" s="11" t="n">
        <v>240</v>
      </c>
      <c r="F101" s="11"/>
    </row>
    <row r="102" customFormat="false" ht="15" hidden="false" customHeight="false" outlineLevel="0" collapsed="false">
      <c r="A102" s="10" t="s">
        <v>1065</v>
      </c>
      <c r="B102" s="10" t="n">
        <v>2</v>
      </c>
      <c r="C102" s="11" t="s">
        <v>1777</v>
      </c>
      <c r="D102" s="10" t="s">
        <v>1778</v>
      </c>
      <c r="E102" s="11"/>
      <c r="F102" s="11"/>
    </row>
    <row r="103" customFormat="false" ht="15" hidden="false" customHeight="false" outlineLevel="0" collapsed="false">
      <c r="A103" s="10" t="s">
        <v>1065</v>
      </c>
      <c r="B103" s="10" t="n">
        <v>3</v>
      </c>
      <c r="C103" s="11" t="s">
        <v>1775</v>
      </c>
      <c r="D103" s="10" t="s">
        <v>1779</v>
      </c>
      <c r="E103" s="11" t="n">
        <v>150</v>
      </c>
      <c r="F103" s="11" t="n">
        <v>180</v>
      </c>
    </row>
    <row r="104" customFormat="false" ht="15" hidden="false" customHeight="false" outlineLevel="0" collapsed="false">
      <c r="A104" s="10" t="s">
        <v>1065</v>
      </c>
      <c r="B104" s="10" t="n">
        <v>4</v>
      </c>
      <c r="C104" s="11" t="s">
        <v>1777</v>
      </c>
      <c r="D104" s="10" t="s">
        <v>1780</v>
      </c>
      <c r="E104" s="11"/>
      <c r="F104" s="11"/>
    </row>
    <row r="105" customFormat="false" ht="15" hidden="false" customHeight="false" outlineLevel="0" collapsed="false">
      <c r="A105" s="10" t="s">
        <v>1065</v>
      </c>
      <c r="B105" s="10" t="n">
        <v>5</v>
      </c>
      <c r="C105" s="11" t="s">
        <v>1781</v>
      </c>
      <c r="D105" s="10" t="s">
        <v>1781</v>
      </c>
      <c r="E105" s="11" t="n">
        <v>120</v>
      </c>
      <c r="F105" s="11"/>
    </row>
    <row r="106" customFormat="false" ht="15" hidden="false" customHeight="false" outlineLevel="0" collapsed="false">
      <c r="A106" s="10" t="s">
        <v>1074</v>
      </c>
      <c r="B106" s="10" t="n">
        <v>1</v>
      </c>
      <c r="C106" s="11" t="s">
        <v>1775</v>
      </c>
      <c r="D106" s="10" t="s">
        <v>1776</v>
      </c>
      <c r="E106" s="11" t="n">
        <v>240</v>
      </c>
      <c r="F106" s="11"/>
    </row>
    <row r="107" customFormat="false" ht="15" hidden="false" customHeight="false" outlineLevel="0" collapsed="false">
      <c r="A107" s="10" t="s">
        <v>1074</v>
      </c>
      <c r="B107" s="10" t="n">
        <v>2</v>
      </c>
      <c r="C107" s="11" t="s">
        <v>1777</v>
      </c>
      <c r="D107" s="10" t="s">
        <v>1778</v>
      </c>
      <c r="E107" s="11"/>
      <c r="F107" s="11"/>
    </row>
    <row r="108" customFormat="false" ht="15" hidden="false" customHeight="false" outlineLevel="0" collapsed="false">
      <c r="A108" s="10" t="s">
        <v>1074</v>
      </c>
      <c r="B108" s="10" t="n">
        <v>3</v>
      </c>
      <c r="C108" s="11" t="s">
        <v>1775</v>
      </c>
      <c r="D108" s="10" t="s">
        <v>1779</v>
      </c>
      <c r="E108" s="11" t="n">
        <v>90</v>
      </c>
      <c r="F108" s="11" t="n">
        <v>120</v>
      </c>
    </row>
    <row r="109" customFormat="false" ht="15" hidden="false" customHeight="false" outlineLevel="0" collapsed="false">
      <c r="A109" s="10" t="s">
        <v>1074</v>
      </c>
      <c r="B109" s="10" t="n">
        <v>4</v>
      </c>
      <c r="C109" s="11" t="s">
        <v>1777</v>
      </c>
      <c r="D109" s="10" t="s">
        <v>1832</v>
      </c>
      <c r="E109" s="11"/>
      <c r="F109" s="11"/>
    </row>
    <row r="110" customFormat="false" ht="15" hidden="false" customHeight="false" outlineLevel="0" collapsed="false">
      <c r="A110" s="10" t="s">
        <v>1080</v>
      </c>
      <c r="B110" s="10" t="n">
        <v>1</v>
      </c>
      <c r="C110" s="11" t="s">
        <v>1775</v>
      </c>
      <c r="D110" s="10" t="s">
        <v>1776</v>
      </c>
      <c r="E110" s="11" t="n">
        <v>180</v>
      </c>
      <c r="F110" s="11"/>
    </row>
    <row r="111" customFormat="false" ht="15" hidden="false" customHeight="false" outlineLevel="0" collapsed="false">
      <c r="A111" s="10" t="s">
        <v>1080</v>
      </c>
      <c r="B111" s="10" t="n">
        <v>2</v>
      </c>
      <c r="C111" s="11" t="s">
        <v>1777</v>
      </c>
      <c r="D111" s="10" t="s">
        <v>1778</v>
      </c>
      <c r="E111" s="11"/>
      <c r="F111" s="11"/>
    </row>
    <row r="112" customFormat="false" ht="15" hidden="false" customHeight="false" outlineLevel="0" collapsed="false">
      <c r="A112" s="10" t="s">
        <v>1080</v>
      </c>
      <c r="B112" s="10" t="n">
        <v>3</v>
      </c>
      <c r="C112" s="11" t="s">
        <v>1775</v>
      </c>
      <c r="D112" s="10" t="s">
        <v>1779</v>
      </c>
      <c r="E112" s="11" t="n">
        <v>120</v>
      </c>
      <c r="F112" s="11" t="n">
        <v>210</v>
      </c>
    </row>
    <row r="113" customFormat="false" ht="15" hidden="false" customHeight="false" outlineLevel="0" collapsed="false">
      <c r="A113" s="10" t="s">
        <v>1080</v>
      </c>
      <c r="B113" s="10" t="n">
        <v>4</v>
      </c>
      <c r="C113" s="11" t="s">
        <v>1777</v>
      </c>
      <c r="D113" s="10" t="s">
        <v>1780</v>
      </c>
      <c r="E113" s="11"/>
      <c r="F113" s="11"/>
    </row>
    <row r="114" customFormat="false" ht="15" hidden="false" customHeight="false" outlineLevel="0" collapsed="false">
      <c r="A114" s="10" t="s">
        <v>1080</v>
      </c>
      <c r="B114" s="10" t="n">
        <v>5</v>
      </c>
      <c r="C114" s="11" t="s">
        <v>1781</v>
      </c>
      <c r="D114" s="10" t="s">
        <v>1786</v>
      </c>
      <c r="E114" s="11" t="n">
        <v>120</v>
      </c>
      <c r="F114" s="11"/>
    </row>
    <row r="115" customFormat="false" ht="15" hidden="false" customHeight="false" outlineLevel="0" collapsed="false">
      <c r="A115" s="10" t="s">
        <v>1085</v>
      </c>
      <c r="B115" s="10" t="n">
        <v>1</v>
      </c>
      <c r="C115" s="11" t="s">
        <v>1777</v>
      </c>
      <c r="D115" s="10" t="s">
        <v>1833</v>
      </c>
      <c r="E115" s="11"/>
      <c r="F115" s="11"/>
    </row>
    <row r="116" customFormat="false" ht="15" hidden="false" customHeight="false" outlineLevel="0" collapsed="false">
      <c r="A116" s="10" t="s">
        <v>1085</v>
      </c>
      <c r="B116" s="10" t="n">
        <v>2</v>
      </c>
      <c r="C116" s="11" t="s">
        <v>1775</v>
      </c>
      <c r="D116" s="10" t="s">
        <v>1779</v>
      </c>
      <c r="E116" s="11" t="n">
        <v>360</v>
      </c>
      <c r="F116" s="11" t="n">
        <v>450</v>
      </c>
    </row>
    <row r="117" customFormat="false" ht="15" hidden="false" customHeight="false" outlineLevel="0" collapsed="false">
      <c r="A117" s="10" t="s">
        <v>1085</v>
      </c>
      <c r="B117" s="10" t="n">
        <v>3</v>
      </c>
      <c r="C117" s="11" t="s">
        <v>1777</v>
      </c>
      <c r="D117" s="10" t="s">
        <v>1780</v>
      </c>
      <c r="E117" s="11"/>
      <c r="F117" s="11"/>
    </row>
    <row r="118" customFormat="false" ht="15" hidden="false" customHeight="false" outlineLevel="0" collapsed="false">
      <c r="A118" s="10" t="s">
        <v>1085</v>
      </c>
      <c r="B118" s="10" t="n">
        <v>4</v>
      </c>
      <c r="C118" s="11" t="s">
        <v>1781</v>
      </c>
      <c r="D118" s="10" t="s">
        <v>1794</v>
      </c>
      <c r="E118" s="11" t="n">
        <v>120</v>
      </c>
      <c r="F118" s="11"/>
    </row>
    <row r="119" customFormat="false" ht="15" hidden="false" customHeight="false" outlineLevel="0" collapsed="false">
      <c r="A119" s="10" t="s">
        <v>1092</v>
      </c>
      <c r="B119" s="10" t="n">
        <v>1</v>
      </c>
      <c r="C119" s="11" t="s">
        <v>1777</v>
      </c>
      <c r="D119" s="10" t="s">
        <v>1834</v>
      </c>
      <c r="E119" s="11"/>
      <c r="F119" s="11"/>
    </row>
    <row r="120" customFormat="false" ht="15" hidden="false" customHeight="false" outlineLevel="0" collapsed="false">
      <c r="A120" s="10" t="s">
        <v>1092</v>
      </c>
      <c r="B120" s="10" t="n">
        <v>2</v>
      </c>
      <c r="C120" s="11" t="s">
        <v>1775</v>
      </c>
      <c r="D120" s="10" t="s">
        <v>1779</v>
      </c>
      <c r="E120" s="11" t="n">
        <v>120</v>
      </c>
      <c r="F120" s="11"/>
    </row>
    <row r="121" customFormat="false" ht="15" hidden="false" customHeight="false" outlineLevel="0" collapsed="false">
      <c r="A121" s="10" t="s">
        <v>1092</v>
      </c>
      <c r="B121" s="10" t="n">
        <v>3</v>
      </c>
      <c r="C121" s="11" t="s">
        <v>1777</v>
      </c>
      <c r="D121" s="10" t="s">
        <v>1835</v>
      </c>
      <c r="E121" s="11"/>
      <c r="F121" s="11"/>
    </row>
    <row r="122" customFormat="false" ht="15" hidden="false" customHeight="false" outlineLevel="0" collapsed="false">
      <c r="A122" s="10" t="s">
        <v>1092</v>
      </c>
      <c r="B122" s="10" t="n">
        <v>4</v>
      </c>
      <c r="C122" s="11" t="s">
        <v>1775</v>
      </c>
      <c r="D122" s="10" t="s">
        <v>1779</v>
      </c>
      <c r="E122" s="11" t="n">
        <v>120</v>
      </c>
      <c r="F122" s="11" t="n">
        <v>150</v>
      </c>
    </row>
    <row r="123" customFormat="false" ht="15" hidden="false" customHeight="false" outlineLevel="0" collapsed="false">
      <c r="A123" s="10" t="s">
        <v>1092</v>
      </c>
      <c r="B123" s="10" t="n">
        <v>5</v>
      </c>
      <c r="C123" s="11" t="s">
        <v>1777</v>
      </c>
      <c r="D123" s="10" t="s">
        <v>1780</v>
      </c>
      <c r="E123" s="11"/>
      <c r="F123" s="11"/>
    </row>
    <row r="124" customFormat="false" ht="15" hidden="false" customHeight="false" outlineLevel="0" collapsed="false">
      <c r="A124" s="10" t="s">
        <v>1092</v>
      </c>
      <c r="B124" s="10" t="n">
        <v>6</v>
      </c>
      <c r="C124" s="11" t="s">
        <v>1781</v>
      </c>
      <c r="D124" s="10" t="s">
        <v>1781</v>
      </c>
      <c r="E124" s="11" t="n">
        <v>120</v>
      </c>
      <c r="F124" s="11"/>
    </row>
    <row r="125" customFormat="false" ht="15" hidden="false" customHeight="false" outlineLevel="0" collapsed="false">
      <c r="A125" s="10" t="s">
        <v>1099</v>
      </c>
      <c r="B125" s="10" t="n">
        <v>1</v>
      </c>
      <c r="C125" s="11" t="s">
        <v>1775</v>
      </c>
      <c r="D125" s="10" t="s">
        <v>1776</v>
      </c>
      <c r="E125" s="11" t="n">
        <v>240</v>
      </c>
      <c r="F125" s="11" t="n">
        <v>300</v>
      </c>
    </row>
    <row r="126" customFormat="false" ht="15" hidden="false" customHeight="false" outlineLevel="0" collapsed="false">
      <c r="A126" s="10" t="s">
        <v>1099</v>
      </c>
      <c r="B126" s="10" t="n">
        <v>2</v>
      </c>
      <c r="C126" s="11" t="s">
        <v>1781</v>
      </c>
      <c r="D126" s="10" t="s">
        <v>1795</v>
      </c>
      <c r="E126" s="11" t="n">
        <v>60</v>
      </c>
      <c r="F126" s="11"/>
    </row>
    <row r="127" customFormat="false" ht="15" hidden="false" customHeight="false" outlineLevel="0" collapsed="false">
      <c r="A127" s="10" t="s">
        <v>1099</v>
      </c>
      <c r="B127" s="10" t="n">
        <v>3</v>
      </c>
      <c r="C127" s="11" t="s">
        <v>1777</v>
      </c>
      <c r="D127" s="10" t="s">
        <v>1836</v>
      </c>
      <c r="E127" s="11"/>
      <c r="F127" s="11"/>
    </row>
    <row r="128" customFormat="false" ht="15" hidden="false" customHeight="false" outlineLevel="0" collapsed="false">
      <c r="A128" s="10" t="s">
        <v>1106</v>
      </c>
      <c r="B128" s="10" t="n">
        <v>1</v>
      </c>
      <c r="C128" s="11" t="s">
        <v>1775</v>
      </c>
      <c r="D128" s="10" t="s">
        <v>1776</v>
      </c>
      <c r="E128" s="11" t="n">
        <v>240</v>
      </c>
      <c r="F128" s="11" t="n">
        <v>300</v>
      </c>
    </row>
    <row r="129" customFormat="false" ht="15" hidden="false" customHeight="false" outlineLevel="0" collapsed="false">
      <c r="A129" s="10" t="s">
        <v>1106</v>
      </c>
      <c r="B129" s="10" t="n">
        <v>2</v>
      </c>
      <c r="C129" s="11" t="s">
        <v>1777</v>
      </c>
      <c r="D129" s="10" t="s">
        <v>1798</v>
      </c>
      <c r="E129" s="11"/>
      <c r="F129" s="11"/>
    </row>
    <row r="130" customFormat="false" ht="15" hidden="false" customHeight="false" outlineLevel="0" collapsed="false">
      <c r="A130" s="10" t="s">
        <v>1106</v>
      </c>
      <c r="B130" s="10" t="n">
        <v>3</v>
      </c>
      <c r="C130" s="11" t="s">
        <v>1777</v>
      </c>
      <c r="D130" s="10" t="s">
        <v>1799</v>
      </c>
      <c r="E130" s="11"/>
      <c r="F130" s="11"/>
    </row>
    <row r="131" customFormat="false" ht="15" hidden="false" customHeight="false" outlineLevel="0" collapsed="false">
      <c r="A131" s="10" t="s">
        <v>1112</v>
      </c>
      <c r="B131" s="10" t="n">
        <v>1</v>
      </c>
      <c r="C131" s="11" t="s">
        <v>1775</v>
      </c>
      <c r="D131" s="10" t="s">
        <v>1837</v>
      </c>
      <c r="E131" s="11" t="n">
        <v>240</v>
      </c>
      <c r="F131" s="11" t="n">
        <v>270</v>
      </c>
    </row>
    <row r="132" customFormat="false" ht="15" hidden="false" customHeight="false" outlineLevel="0" collapsed="false">
      <c r="A132" s="10" t="s">
        <v>1112</v>
      </c>
      <c r="B132" s="10" t="n">
        <v>2</v>
      </c>
      <c r="C132" s="11" t="s">
        <v>1777</v>
      </c>
      <c r="D132" s="10" t="s">
        <v>1798</v>
      </c>
      <c r="E132" s="11"/>
      <c r="F132" s="11"/>
    </row>
    <row r="133" customFormat="false" ht="15" hidden="false" customHeight="false" outlineLevel="0" collapsed="false">
      <c r="A133" s="10" t="s">
        <v>1112</v>
      </c>
      <c r="B133" s="10" t="n">
        <v>3</v>
      </c>
      <c r="C133" s="11" t="s">
        <v>1777</v>
      </c>
      <c r="D133" s="10" t="s">
        <v>1799</v>
      </c>
      <c r="E133" s="11"/>
      <c r="F133" s="11"/>
    </row>
    <row r="134" customFormat="false" ht="15" hidden="false" customHeight="false" outlineLevel="0" collapsed="false">
      <c r="A134" s="10" t="s">
        <v>1118</v>
      </c>
      <c r="B134" s="10" t="n">
        <v>1</v>
      </c>
      <c r="C134" s="11" t="s">
        <v>1775</v>
      </c>
      <c r="D134" s="10" t="s">
        <v>1837</v>
      </c>
      <c r="E134" s="11" t="n">
        <v>240</v>
      </c>
      <c r="F134" s="11" t="n">
        <v>270</v>
      </c>
    </row>
    <row r="135" customFormat="false" ht="15" hidden="false" customHeight="false" outlineLevel="0" collapsed="false">
      <c r="A135" s="10" t="s">
        <v>1118</v>
      </c>
      <c r="B135" s="10" t="n">
        <v>2</v>
      </c>
      <c r="C135" s="11" t="s">
        <v>1777</v>
      </c>
      <c r="D135" s="10" t="s">
        <v>1798</v>
      </c>
      <c r="E135" s="11"/>
      <c r="F135" s="11"/>
    </row>
    <row r="136" customFormat="false" ht="15" hidden="false" customHeight="false" outlineLevel="0" collapsed="false">
      <c r="A136" s="10" t="s">
        <v>1118</v>
      </c>
      <c r="B136" s="10" t="n">
        <v>3</v>
      </c>
      <c r="C136" s="11" t="s">
        <v>1777</v>
      </c>
      <c r="D136" s="10" t="s">
        <v>1799</v>
      </c>
      <c r="E136" s="11"/>
      <c r="F136" s="11"/>
    </row>
    <row r="137" customFormat="false" ht="15" hidden="false" customHeight="false" outlineLevel="0" collapsed="false">
      <c r="A137" s="10" t="s">
        <v>1123</v>
      </c>
      <c r="B137" s="10" t="n">
        <v>1</v>
      </c>
      <c r="C137" s="11" t="s">
        <v>1777</v>
      </c>
      <c r="D137" s="10" t="s">
        <v>1834</v>
      </c>
      <c r="E137" s="11"/>
      <c r="F137" s="11"/>
    </row>
    <row r="138" customFormat="false" ht="15" hidden="false" customHeight="false" outlineLevel="0" collapsed="false">
      <c r="A138" s="10" t="s">
        <v>1123</v>
      </c>
      <c r="B138" s="10" t="n">
        <v>2</v>
      </c>
      <c r="C138" s="11" t="s">
        <v>1775</v>
      </c>
      <c r="D138" s="10" t="s">
        <v>1779</v>
      </c>
      <c r="E138" s="11" t="n">
        <v>240</v>
      </c>
      <c r="F138" s="11"/>
    </row>
    <row r="139" customFormat="false" ht="15" hidden="false" customHeight="false" outlineLevel="0" collapsed="false">
      <c r="A139" s="10" t="s">
        <v>1123</v>
      </c>
      <c r="B139" s="10" t="n">
        <v>3</v>
      </c>
      <c r="C139" s="11" t="s">
        <v>1777</v>
      </c>
      <c r="D139" s="10" t="s">
        <v>1838</v>
      </c>
      <c r="E139" s="11"/>
      <c r="F139" s="11"/>
    </row>
    <row r="140" customFormat="false" ht="15" hidden="false" customHeight="false" outlineLevel="0" collapsed="false">
      <c r="A140" s="10" t="s">
        <v>1123</v>
      </c>
      <c r="B140" s="10" t="n">
        <v>4</v>
      </c>
      <c r="C140" s="11" t="s">
        <v>1775</v>
      </c>
      <c r="D140" s="10" t="s">
        <v>1779</v>
      </c>
      <c r="E140" s="11" t="n">
        <v>180</v>
      </c>
      <c r="F140" s="11" t="n">
        <v>240</v>
      </c>
    </row>
    <row r="141" customFormat="false" ht="15" hidden="false" customHeight="false" outlineLevel="0" collapsed="false">
      <c r="A141" s="10" t="s">
        <v>1123</v>
      </c>
      <c r="B141" s="10" t="n">
        <v>5</v>
      </c>
      <c r="C141" s="11" t="s">
        <v>1777</v>
      </c>
      <c r="D141" s="10" t="s">
        <v>1780</v>
      </c>
      <c r="E141" s="11"/>
      <c r="F141" s="11"/>
    </row>
    <row r="142" customFormat="false" ht="15" hidden="false" customHeight="false" outlineLevel="0" collapsed="false">
      <c r="A142" s="10" t="s">
        <v>1123</v>
      </c>
      <c r="B142" s="10" t="n">
        <v>6</v>
      </c>
      <c r="C142" s="11" t="s">
        <v>1781</v>
      </c>
      <c r="D142" s="10" t="s">
        <v>1781</v>
      </c>
      <c r="E142" s="11" t="n">
        <v>120</v>
      </c>
      <c r="F142" s="11"/>
    </row>
    <row r="143" customFormat="false" ht="15" hidden="false" customHeight="false" outlineLevel="0" collapsed="false">
      <c r="A143" s="10" t="s">
        <v>1130</v>
      </c>
      <c r="B143" s="10" t="n">
        <v>1</v>
      </c>
      <c r="C143" s="11" t="s">
        <v>1777</v>
      </c>
      <c r="D143" s="10" t="s">
        <v>1789</v>
      </c>
      <c r="E143" s="11"/>
      <c r="F143" s="11"/>
    </row>
    <row r="144" customFormat="false" ht="15" hidden="false" customHeight="false" outlineLevel="0" collapsed="false">
      <c r="A144" s="10" t="s">
        <v>1130</v>
      </c>
      <c r="B144" s="10" t="n">
        <v>2</v>
      </c>
      <c r="C144" s="11" t="s">
        <v>1775</v>
      </c>
      <c r="D144" s="10" t="s">
        <v>1779</v>
      </c>
      <c r="E144" s="11" t="n">
        <v>270</v>
      </c>
      <c r="F144" s="11"/>
    </row>
    <row r="145" customFormat="false" ht="15" hidden="false" customHeight="false" outlineLevel="0" collapsed="false">
      <c r="A145" s="10" t="s">
        <v>1130</v>
      </c>
      <c r="B145" s="10" t="n">
        <v>3</v>
      </c>
      <c r="C145" s="11" t="s">
        <v>1777</v>
      </c>
      <c r="D145" s="10" t="s">
        <v>1839</v>
      </c>
      <c r="E145" s="11"/>
      <c r="F145" s="11"/>
    </row>
    <row r="146" customFormat="false" ht="15" hidden="false" customHeight="false" outlineLevel="0" collapsed="false">
      <c r="A146" s="10" t="s">
        <v>1130</v>
      </c>
      <c r="B146" s="10" t="n">
        <v>4</v>
      </c>
      <c r="C146" s="11" t="s">
        <v>1775</v>
      </c>
      <c r="D146" s="10" t="s">
        <v>1779</v>
      </c>
      <c r="E146" s="11" t="n">
        <v>90</v>
      </c>
      <c r="F146" s="11" t="n">
        <v>150</v>
      </c>
    </row>
    <row r="147" customFormat="false" ht="15" hidden="false" customHeight="false" outlineLevel="0" collapsed="false">
      <c r="A147" s="10" t="s">
        <v>1130</v>
      </c>
      <c r="B147" s="10" t="n">
        <v>5</v>
      </c>
      <c r="C147" s="11" t="s">
        <v>1777</v>
      </c>
      <c r="D147" s="10" t="s">
        <v>1780</v>
      </c>
      <c r="E147" s="11"/>
      <c r="F147" s="11"/>
    </row>
    <row r="148" customFormat="false" ht="15" hidden="false" customHeight="false" outlineLevel="0" collapsed="false">
      <c r="A148" s="10" t="s">
        <v>1130</v>
      </c>
      <c r="B148" s="10" t="n">
        <v>6</v>
      </c>
      <c r="C148" s="11" t="s">
        <v>1781</v>
      </c>
      <c r="D148" s="10" t="s">
        <v>1840</v>
      </c>
      <c r="E148" s="11" t="n">
        <v>120</v>
      </c>
      <c r="F148" s="11"/>
    </row>
    <row r="149" customFormat="false" ht="15" hidden="false" customHeight="false" outlineLevel="0" collapsed="false">
      <c r="A149" s="10" t="s">
        <v>1136</v>
      </c>
      <c r="B149" s="10" t="n">
        <v>1</v>
      </c>
      <c r="C149" s="11" t="s">
        <v>1775</v>
      </c>
      <c r="D149" s="10" t="s">
        <v>1776</v>
      </c>
      <c r="E149" s="11" t="n">
        <v>240</v>
      </c>
      <c r="F149" s="11"/>
    </row>
    <row r="150" customFormat="false" ht="15" hidden="false" customHeight="false" outlineLevel="0" collapsed="false">
      <c r="A150" s="10" t="s">
        <v>1136</v>
      </c>
      <c r="B150" s="10" t="n">
        <v>2</v>
      </c>
      <c r="C150" s="11" t="s">
        <v>1777</v>
      </c>
      <c r="D150" s="10" t="s">
        <v>1783</v>
      </c>
      <c r="E150" s="11"/>
      <c r="F150" s="11"/>
    </row>
    <row r="151" customFormat="false" ht="15" hidden="false" customHeight="false" outlineLevel="0" collapsed="false">
      <c r="A151" s="10" t="s">
        <v>1136</v>
      </c>
      <c r="B151" s="10" t="n">
        <v>3</v>
      </c>
      <c r="C151" s="11" t="s">
        <v>1775</v>
      </c>
      <c r="D151" s="10" t="s">
        <v>1779</v>
      </c>
      <c r="E151" s="11" t="n">
        <v>30</v>
      </c>
      <c r="F151" s="11" t="n">
        <v>90</v>
      </c>
    </row>
    <row r="152" customFormat="false" ht="15" hidden="false" customHeight="false" outlineLevel="0" collapsed="false">
      <c r="A152" s="10" t="s">
        <v>1136</v>
      </c>
      <c r="B152" s="10" t="n">
        <v>4</v>
      </c>
      <c r="C152" s="11" t="s">
        <v>1777</v>
      </c>
      <c r="D152" s="10" t="s">
        <v>1780</v>
      </c>
      <c r="E152" s="11"/>
      <c r="F152" s="11"/>
    </row>
    <row r="153" customFormat="false" ht="15" hidden="false" customHeight="false" outlineLevel="0" collapsed="false">
      <c r="A153" s="10" t="s">
        <v>1136</v>
      </c>
      <c r="B153" s="10" t="n">
        <v>5</v>
      </c>
      <c r="C153" s="11" t="s">
        <v>1781</v>
      </c>
      <c r="D153" s="10" t="s">
        <v>1781</v>
      </c>
      <c r="E153" s="11" t="n">
        <v>120</v>
      </c>
      <c r="F153" s="11"/>
    </row>
    <row r="154" customFormat="false" ht="15" hidden="false" customHeight="false" outlineLevel="0" collapsed="false">
      <c r="A154" s="10" t="s">
        <v>1141</v>
      </c>
      <c r="B154" s="10" t="n">
        <v>1</v>
      </c>
      <c r="C154" s="11" t="s">
        <v>1775</v>
      </c>
      <c r="D154" s="10" t="s">
        <v>1776</v>
      </c>
      <c r="E154" s="11" t="n">
        <v>210</v>
      </c>
      <c r="F154" s="11"/>
    </row>
    <row r="155" customFormat="false" ht="15" hidden="false" customHeight="false" outlineLevel="0" collapsed="false">
      <c r="A155" s="10" t="s">
        <v>1141</v>
      </c>
      <c r="B155" s="10" t="n">
        <v>2</v>
      </c>
      <c r="C155" s="11" t="s">
        <v>1777</v>
      </c>
      <c r="D155" s="10" t="s">
        <v>1783</v>
      </c>
      <c r="E155" s="11"/>
      <c r="F155" s="11"/>
    </row>
    <row r="156" customFormat="false" ht="15" hidden="false" customHeight="false" outlineLevel="0" collapsed="false">
      <c r="A156" s="10" t="s">
        <v>1141</v>
      </c>
      <c r="B156" s="10" t="n">
        <v>3</v>
      </c>
      <c r="C156" s="11" t="s">
        <v>1775</v>
      </c>
      <c r="D156" s="10" t="s">
        <v>1779</v>
      </c>
      <c r="E156" s="11" t="n">
        <v>90</v>
      </c>
      <c r="F156" s="11" t="n">
        <v>150</v>
      </c>
    </row>
    <row r="157" customFormat="false" ht="15" hidden="false" customHeight="false" outlineLevel="0" collapsed="false">
      <c r="A157" s="10" t="s">
        <v>1141</v>
      </c>
      <c r="B157" s="10" t="n">
        <v>4</v>
      </c>
      <c r="C157" s="11" t="s">
        <v>1777</v>
      </c>
      <c r="D157" s="10" t="s">
        <v>1832</v>
      </c>
      <c r="E157" s="11"/>
      <c r="F157" s="11"/>
    </row>
    <row r="158" customFormat="false" ht="15" hidden="false" customHeight="false" outlineLevel="0" collapsed="false">
      <c r="A158" s="10" t="s">
        <v>1146</v>
      </c>
      <c r="B158" s="10" t="n">
        <v>1</v>
      </c>
      <c r="C158" s="11" t="s">
        <v>1777</v>
      </c>
      <c r="D158" s="10" t="s">
        <v>1841</v>
      </c>
      <c r="E158" s="11"/>
      <c r="F158" s="11"/>
    </row>
    <row r="159" customFormat="false" ht="15" hidden="false" customHeight="false" outlineLevel="0" collapsed="false">
      <c r="A159" s="10" t="s">
        <v>1146</v>
      </c>
      <c r="B159" s="10" t="n">
        <v>2</v>
      </c>
      <c r="C159" s="11" t="s">
        <v>1775</v>
      </c>
      <c r="D159" s="10" t="s">
        <v>1779</v>
      </c>
      <c r="E159" s="11" t="n">
        <v>270</v>
      </c>
      <c r="F159" s="11"/>
    </row>
    <row r="160" customFormat="false" ht="15" hidden="false" customHeight="false" outlineLevel="0" collapsed="false">
      <c r="A160" s="10" t="s">
        <v>1146</v>
      </c>
      <c r="B160" s="10" t="n">
        <v>3</v>
      </c>
      <c r="C160" s="11" t="s">
        <v>1777</v>
      </c>
      <c r="D160" s="10" t="s">
        <v>1839</v>
      </c>
      <c r="E160" s="11"/>
      <c r="F160" s="11"/>
    </row>
    <row r="161" customFormat="false" ht="15" hidden="false" customHeight="false" outlineLevel="0" collapsed="false">
      <c r="A161" s="10" t="s">
        <v>1146</v>
      </c>
      <c r="B161" s="10" t="n">
        <v>4</v>
      </c>
      <c r="C161" s="11" t="s">
        <v>1775</v>
      </c>
      <c r="D161" s="10" t="s">
        <v>1779</v>
      </c>
      <c r="E161" s="11" t="n">
        <v>150</v>
      </c>
      <c r="F161" s="11" t="n">
        <v>210</v>
      </c>
    </row>
    <row r="162" customFormat="false" ht="15" hidden="false" customHeight="false" outlineLevel="0" collapsed="false">
      <c r="A162" s="10" t="s">
        <v>1146</v>
      </c>
      <c r="B162" s="10" t="n">
        <v>5</v>
      </c>
      <c r="C162" s="11" t="s">
        <v>1777</v>
      </c>
      <c r="D162" s="10" t="s">
        <v>1780</v>
      </c>
      <c r="E162" s="11"/>
      <c r="F162" s="11"/>
    </row>
    <row r="163" customFormat="false" ht="15" hidden="false" customHeight="false" outlineLevel="0" collapsed="false">
      <c r="A163" s="10" t="s">
        <v>1146</v>
      </c>
      <c r="B163" s="10" t="n">
        <v>6</v>
      </c>
      <c r="C163" s="11" t="s">
        <v>1781</v>
      </c>
      <c r="D163" s="10" t="s">
        <v>1794</v>
      </c>
      <c r="E163" s="11" t="n">
        <v>60</v>
      </c>
      <c r="F163" s="11"/>
    </row>
    <row r="164" customFormat="false" ht="15" hidden="false" customHeight="false" outlineLevel="0" collapsed="false">
      <c r="A164" s="10" t="s">
        <v>1153</v>
      </c>
      <c r="B164" s="10" t="n">
        <v>1</v>
      </c>
      <c r="C164" s="11" t="s">
        <v>1777</v>
      </c>
      <c r="D164" s="10" t="s">
        <v>1834</v>
      </c>
      <c r="E164" s="11"/>
      <c r="F164" s="11"/>
    </row>
    <row r="165" customFormat="false" ht="15" hidden="false" customHeight="false" outlineLevel="0" collapsed="false">
      <c r="A165" s="10" t="s">
        <v>1153</v>
      </c>
      <c r="B165" s="10" t="n">
        <v>2</v>
      </c>
      <c r="C165" s="11" t="s">
        <v>1775</v>
      </c>
      <c r="D165" s="10" t="s">
        <v>1779</v>
      </c>
      <c r="E165" s="11" t="n">
        <v>240</v>
      </c>
      <c r="F165" s="11"/>
    </row>
    <row r="166" customFormat="false" ht="15" hidden="false" customHeight="false" outlineLevel="0" collapsed="false">
      <c r="A166" s="10" t="s">
        <v>1153</v>
      </c>
      <c r="B166" s="10" t="n">
        <v>3</v>
      </c>
      <c r="C166" s="11" t="s">
        <v>1777</v>
      </c>
      <c r="D166" s="10" t="s">
        <v>1842</v>
      </c>
      <c r="E166" s="11"/>
      <c r="F166" s="11"/>
    </row>
    <row r="167" customFormat="false" ht="15" hidden="false" customHeight="false" outlineLevel="0" collapsed="false">
      <c r="A167" s="10" t="s">
        <v>1153</v>
      </c>
      <c r="B167" s="10" t="n">
        <v>4</v>
      </c>
      <c r="C167" s="11" t="s">
        <v>1775</v>
      </c>
      <c r="D167" s="10" t="s">
        <v>1779</v>
      </c>
      <c r="E167" s="11" t="n">
        <v>270</v>
      </c>
      <c r="F167" s="11" t="n">
        <v>300</v>
      </c>
    </row>
    <row r="168" customFormat="false" ht="15" hidden="false" customHeight="false" outlineLevel="0" collapsed="false">
      <c r="A168" s="10" t="s">
        <v>1153</v>
      </c>
      <c r="B168" s="10" t="n">
        <v>5</v>
      </c>
      <c r="C168" s="11" t="s">
        <v>1777</v>
      </c>
      <c r="D168" s="10" t="s">
        <v>1780</v>
      </c>
      <c r="E168" s="11"/>
      <c r="F168" s="11"/>
    </row>
    <row r="169" customFormat="false" ht="15" hidden="false" customHeight="false" outlineLevel="0" collapsed="false">
      <c r="A169" s="10" t="s">
        <v>1153</v>
      </c>
      <c r="B169" s="10" t="n">
        <v>6</v>
      </c>
      <c r="C169" s="11" t="s">
        <v>1781</v>
      </c>
      <c r="D169" s="10" t="s">
        <v>1781</v>
      </c>
      <c r="E169" s="11" t="n">
        <v>120</v>
      </c>
      <c r="F169" s="11"/>
    </row>
    <row r="170" customFormat="false" ht="23.85" hidden="false" customHeight="false" outlineLevel="0" collapsed="false">
      <c r="A170" s="10" t="s">
        <v>1159</v>
      </c>
      <c r="B170" s="10" t="n">
        <v>1</v>
      </c>
      <c r="C170" s="11" t="s">
        <v>1777</v>
      </c>
      <c r="D170" s="10" t="s">
        <v>1843</v>
      </c>
      <c r="E170" s="11"/>
      <c r="F170" s="11"/>
    </row>
    <row r="171" customFormat="false" ht="15" hidden="false" customHeight="false" outlineLevel="0" collapsed="false">
      <c r="A171" s="10" t="s">
        <v>1159</v>
      </c>
      <c r="B171" s="10" t="n">
        <v>2</v>
      </c>
      <c r="C171" s="11" t="s">
        <v>1775</v>
      </c>
      <c r="D171" s="10" t="s">
        <v>1844</v>
      </c>
      <c r="E171" s="11" t="n">
        <v>150</v>
      </c>
      <c r="F171" s="11"/>
    </row>
    <row r="172" customFormat="false" ht="15" hidden="false" customHeight="false" outlineLevel="0" collapsed="false">
      <c r="A172" s="10" t="s">
        <v>1159</v>
      </c>
      <c r="B172" s="10" t="n">
        <v>3</v>
      </c>
      <c r="C172" s="11" t="s">
        <v>1777</v>
      </c>
      <c r="D172" s="10" t="s">
        <v>1780</v>
      </c>
      <c r="E172" s="11"/>
      <c r="F172" s="11"/>
    </row>
    <row r="173" customFormat="false" ht="15" hidden="false" customHeight="false" outlineLevel="0" collapsed="false">
      <c r="A173" s="10" t="s">
        <v>1159</v>
      </c>
      <c r="B173" s="10" t="n">
        <v>4</v>
      </c>
      <c r="C173" s="11" t="s">
        <v>1781</v>
      </c>
      <c r="D173" s="10" t="s">
        <v>1845</v>
      </c>
      <c r="E173" s="11" t="n">
        <v>60</v>
      </c>
      <c r="F173" s="11"/>
    </row>
    <row r="174" customFormat="false" ht="15" hidden="false" customHeight="false" outlineLevel="0" collapsed="false">
      <c r="A174" s="10" t="s">
        <v>1168</v>
      </c>
      <c r="B174" s="10" t="n">
        <v>1</v>
      </c>
      <c r="C174" s="11" t="s">
        <v>1777</v>
      </c>
      <c r="D174" s="10" t="s">
        <v>1846</v>
      </c>
      <c r="E174" s="11"/>
      <c r="F174" s="11"/>
    </row>
    <row r="175" customFormat="false" ht="15" hidden="false" customHeight="false" outlineLevel="0" collapsed="false">
      <c r="A175" s="10" t="s">
        <v>1168</v>
      </c>
      <c r="B175" s="10" t="n">
        <v>2</v>
      </c>
      <c r="C175" s="11" t="s">
        <v>1775</v>
      </c>
      <c r="D175" s="10" t="s">
        <v>1844</v>
      </c>
      <c r="E175" s="11" t="n">
        <v>300</v>
      </c>
      <c r="F175" s="11" t="n">
        <v>330</v>
      </c>
    </row>
    <row r="176" customFormat="false" ht="15" hidden="false" customHeight="false" outlineLevel="0" collapsed="false">
      <c r="A176" s="10" t="s">
        <v>1168</v>
      </c>
      <c r="B176" s="10" t="n">
        <v>3</v>
      </c>
      <c r="C176" s="11" t="s">
        <v>1777</v>
      </c>
      <c r="D176" s="10" t="s">
        <v>1780</v>
      </c>
      <c r="E176" s="11"/>
      <c r="F176" s="11"/>
    </row>
    <row r="177" customFormat="false" ht="15" hidden="false" customHeight="false" outlineLevel="0" collapsed="false">
      <c r="A177" s="10" t="s">
        <v>1168</v>
      </c>
      <c r="B177" s="10" t="n">
        <v>4</v>
      </c>
      <c r="C177" s="11" t="s">
        <v>1781</v>
      </c>
      <c r="D177" s="10" t="s">
        <v>1845</v>
      </c>
      <c r="E177" s="11" t="n">
        <v>60</v>
      </c>
      <c r="F177" s="11"/>
    </row>
    <row r="178" customFormat="false" ht="23.85" hidden="false" customHeight="false" outlineLevel="0" collapsed="false">
      <c r="A178" s="10" t="s">
        <v>1184</v>
      </c>
      <c r="B178" s="10" t="n">
        <v>1</v>
      </c>
      <c r="C178" s="11" t="s">
        <v>1777</v>
      </c>
      <c r="D178" s="10" t="s">
        <v>1847</v>
      </c>
      <c r="E178" s="11"/>
      <c r="F178" s="11"/>
    </row>
    <row r="179" customFormat="false" ht="15" hidden="false" customHeight="false" outlineLevel="0" collapsed="false">
      <c r="A179" s="10" t="s">
        <v>1184</v>
      </c>
      <c r="B179" s="10" t="n">
        <v>2</v>
      </c>
      <c r="C179" s="11" t="s">
        <v>1775</v>
      </c>
      <c r="D179" s="10" t="s">
        <v>1779</v>
      </c>
      <c r="E179" s="11" t="n">
        <v>240</v>
      </c>
      <c r="F179" s="11" t="n">
        <v>300</v>
      </c>
    </row>
    <row r="180" customFormat="false" ht="15" hidden="false" customHeight="false" outlineLevel="0" collapsed="false">
      <c r="A180" s="10" t="s">
        <v>1184</v>
      </c>
      <c r="B180" s="10" t="n">
        <v>3</v>
      </c>
      <c r="C180" s="11" t="s">
        <v>1781</v>
      </c>
      <c r="D180" s="10" t="s">
        <v>1781</v>
      </c>
      <c r="E180" s="11" t="n">
        <v>60</v>
      </c>
      <c r="F180" s="11"/>
    </row>
    <row r="181" customFormat="false" ht="23.85" hidden="false" customHeight="false" outlineLevel="0" collapsed="false">
      <c r="A181" s="10" t="s">
        <v>1184</v>
      </c>
      <c r="B181" s="10" t="n">
        <v>4</v>
      </c>
      <c r="C181" s="11" t="s">
        <v>1777</v>
      </c>
      <c r="D181" s="10" t="s">
        <v>1848</v>
      </c>
      <c r="E181" s="11"/>
      <c r="F181" s="11"/>
    </row>
    <row r="182" customFormat="false" ht="23.85" hidden="false" customHeight="false" outlineLevel="0" collapsed="false">
      <c r="A182" s="10" t="s">
        <v>1191</v>
      </c>
      <c r="B182" s="10" t="n">
        <v>1</v>
      </c>
      <c r="C182" s="11" t="s">
        <v>1777</v>
      </c>
      <c r="D182" s="10" t="s">
        <v>1849</v>
      </c>
      <c r="E182" s="11"/>
      <c r="F182" s="11"/>
    </row>
    <row r="183" customFormat="false" ht="15" hidden="false" customHeight="false" outlineLevel="0" collapsed="false">
      <c r="A183" s="10" t="s">
        <v>1191</v>
      </c>
      <c r="B183" s="10" t="n">
        <v>2</v>
      </c>
      <c r="C183" s="11" t="s">
        <v>1775</v>
      </c>
      <c r="D183" s="10" t="s">
        <v>1779</v>
      </c>
      <c r="E183" s="11" t="n">
        <v>300</v>
      </c>
      <c r="F183" s="11" t="n">
        <v>360</v>
      </c>
    </row>
    <row r="184" customFormat="false" ht="15" hidden="false" customHeight="false" outlineLevel="0" collapsed="false">
      <c r="A184" s="10" t="s">
        <v>1191</v>
      </c>
      <c r="B184" s="10" t="n">
        <v>3</v>
      </c>
      <c r="C184" s="11" t="s">
        <v>1781</v>
      </c>
      <c r="D184" s="10" t="s">
        <v>1850</v>
      </c>
      <c r="E184" s="11" t="n">
        <v>60</v>
      </c>
      <c r="F184" s="11"/>
    </row>
    <row r="185" customFormat="false" ht="23.85" hidden="false" customHeight="false" outlineLevel="0" collapsed="false">
      <c r="A185" s="10" t="s">
        <v>1191</v>
      </c>
      <c r="B185" s="10" t="n">
        <v>4</v>
      </c>
      <c r="C185" s="11" t="s">
        <v>1777</v>
      </c>
      <c r="D185" s="10" t="s">
        <v>1851</v>
      </c>
      <c r="E185" s="11"/>
      <c r="F185" s="11"/>
    </row>
    <row r="186" customFormat="false" ht="23.85" hidden="false" customHeight="false" outlineLevel="0" collapsed="false">
      <c r="A186" s="10" t="s">
        <v>1197</v>
      </c>
      <c r="B186" s="10" t="n">
        <v>1</v>
      </c>
      <c r="C186" s="11" t="s">
        <v>1777</v>
      </c>
      <c r="D186" s="10" t="s">
        <v>1852</v>
      </c>
      <c r="E186" s="11"/>
      <c r="F186" s="11"/>
    </row>
    <row r="187" customFormat="false" ht="15" hidden="false" customHeight="false" outlineLevel="0" collapsed="false">
      <c r="A187" s="10" t="s">
        <v>1197</v>
      </c>
      <c r="B187" s="10" t="n">
        <v>2</v>
      </c>
      <c r="C187" s="11" t="s">
        <v>1777</v>
      </c>
      <c r="D187" s="10" t="s">
        <v>1816</v>
      </c>
      <c r="E187" s="11"/>
      <c r="F187" s="11"/>
    </row>
    <row r="188" customFormat="false" ht="15" hidden="false" customHeight="false" outlineLevel="0" collapsed="false">
      <c r="A188" s="10" t="s">
        <v>1197</v>
      </c>
      <c r="B188" s="10" t="n">
        <v>3</v>
      </c>
      <c r="C188" s="11" t="s">
        <v>1781</v>
      </c>
      <c r="D188" s="10" t="s">
        <v>1850</v>
      </c>
      <c r="E188" s="11" t="n">
        <v>60</v>
      </c>
      <c r="F188" s="11" t="n">
        <v>120</v>
      </c>
    </row>
    <row r="189" customFormat="false" ht="23.85" hidden="false" customHeight="false" outlineLevel="0" collapsed="false">
      <c r="A189" s="10" t="s">
        <v>1197</v>
      </c>
      <c r="B189" s="10" t="n">
        <v>4</v>
      </c>
      <c r="C189" s="11" t="s">
        <v>1777</v>
      </c>
      <c r="D189" s="10" t="s">
        <v>1851</v>
      </c>
      <c r="E189" s="11"/>
      <c r="F189" s="11"/>
    </row>
    <row r="190" customFormat="false" ht="15" hidden="false" customHeight="false" outlineLevel="0" collapsed="false">
      <c r="A190" s="10" t="s">
        <v>1204</v>
      </c>
      <c r="B190" s="10" t="n">
        <v>1</v>
      </c>
      <c r="C190" s="11" t="s">
        <v>1775</v>
      </c>
      <c r="D190" s="10" t="s">
        <v>1853</v>
      </c>
      <c r="E190" s="11" t="n">
        <v>60</v>
      </c>
      <c r="F190" s="11" t="n">
        <v>90</v>
      </c>
    </row>
    <row r="191" customFormat="false" ht="15" hidden="false" customHeight="false" outlineLevel="0" collapsed="false">
      <c r="A191" s="10" t="s">
        <v>1204</v>
      </c>
      <c r="B191" s="10" t="n">
        <v>2</v>
      </c>
      <c r="C191" s="11" t="s">
        <v>1777</v>
      </c>
      <c r="D191" s="10" t="s">
        <v>1854</v>
      </c>
      <c r="E191" s="11"/>
      <c r="F191" s="11"/>
    </row>
    <row r="192" customFormat="false" ht="15" hidden="false" customHeight="false" outlineLevel="0" collapsed="false">
      <c r="A192" s="10" t="s">
        <v>1204</v>
      </c>
      <c r="B192" s="10" t="n">
        <v>3</v>
      </c>
      <c r="C192" s="11" t="s">
        <v>1777</v>
      </c>
      <c r="D192" s="10" t="s">
        <v>1855</v>
      </c>
      <c r="E192" s="11"/>
      <c r="F192" s="11"/>
    </row>
    <row r="193" customFormat="false" ht="15" hidden="false" customHeight="false" outlineLevel="0" collapsed="false">
      <c r="A193" s="10" t="s">
        <v>1214</v>
      </c>
      <c r="B193" s="10" t="n">
        <v>1</v>
      </c>
      <c r="C193" s="11" t="s">
        <v>1775</v>
      </c>
      <c r="D193" s="10" t="s">
        <v>1853</v>
      </c>
      <c r="E193" s="11" t="n">
        <v>90</v>
      </c>
      <c r="F193" s="11" t="n">
        <v>150</v>
      </c>
    </row>
    <row r="194" customFormat="false" ht="15" hidden="false" customHeight="false" outlineLevel="0" collapsed="false">
      <c r="A194" s="10" t="s">
        <v>1214</v>
      </c>
      <c r="B194" s="10" t="n">
        <v>2</v>
      </c>
      <c r="C194" s="11" t="s">
        <v>1777</v>
      </c>
      <c r="D194" s="10" t="s">
        <v>1854</v>
      </c>
      <c r="E194" s="11"/>
      <c r="F194" s="11"/>
    </row>
    <row r="195" customFormat="false" ht="15" hidden="false" customHeight="false" outlineLevel="0" collapsed="false">
      <c r="A195" s="10" t="s">
        <v>1214</v>
      </c>
      <c r="B195" s="10" t="n">
        <v>3</v>
      </c>
      <c r="C195" s="11" t="s">
        <v>1777</v>
      </c>
      <c r="D195" s="10" t="s">
        <v>1855</v>
      </c>
      <c r="E195" s="11"/>
      <c r="F195" s="11"/>
    </row>
    <row r="196" customFormat="false" ht="15" hidden="false" customHeight="false" outlineLevel="0" collapsed="false">
      <c r="A196" s="10" t="s">
        <v>1214</v>
      </c>
      <c r="B196" s="10" t="n">
        <v>4</v>
      </c>
      <c r="C196" s="11" t="s">
        <v>1777</v>
      </c>
      <c r="D196" s="10" t="s">
        <v>1856</v>
      </c>
      <c r="E196" s="11"/>
      <c r="F196" s="11"/>
    </row>
    <row r="197" customFormat="false" ht="15" hidden="false" customHeight="false" outlineLevel="0" collapsed="false">
      <c r="A197" s="10" t="s">
        <v>1220</v>
      </c>
      <c r="B197" s="10" t="n">
        <v>1</v>
      </c>
      <c r="C197" s="11" t="s">
        <v>1775</v>
      </c>
      <c r="D197" s="10" t="s">
        <v>1853</v>
      </c>
      <c r="E197" s="11" t="n">
        <v>60</v>
      </c>
      <c r="F197" s="11" t="n">
        <v>90</v>
      </c>
    </row>
    <row r="198" customFormat="false" ht="15" hidden="false" customHeight="false" outlineLevel="0" collapsed="false">
      <c r="A198" s="10" t="s">
        <v>1220</v>
      </c>
      <c r="B198" s="10" t="n">
        <v>2</v>
      </c>
      <c r="C198" s="11" t="s">
        <v>1777</v>
      </c>
      <c r="D198" s="10" t="s">
        <v>1854</v>
      </c>
      <c r="E198" s="11"/>
      <c r="F198" s="11"/>
    </row>
    <row r="199" customFormat="false" ht="15" hidden="false" customHeight="false" outlineLevel="0" collapsed="false">
      <c r="A199" s="10" t="s">
        <v>1220</v>
      </c>
      <c r="B199" s="10" t="n">
        <v>3</v>
      </c>
      <c r="C199" s="11" t="s">
        <v>1777</v>
      </c>
      <c r="D199" s="10" t="s">
        <v>1855</v>
      </c>
      <c r="E199" s="11"/>
      <c r="F199" s="11"/>
    </row>
    <row r="200" customFormat="false" ht="15" hidden="false" customHeight="false" outlineLevel="0" collapsed="false">
      <c r="A200" s="10" t="s">
        <v>1226</v>
      </c>
      <c r="B200" s="10" t="n">
        <v>1</v>
      </c>
      <c r="C200" s="11" t="s">
        <v>1775</v>
      </c>
      <c r="D200" s="10" t="s">
        <v>1853</v>
      </c>
      <c r="E200" s="11" t="n">
        <v>90</v>
      </c>
      <c r="F200" s="11" t="n">
        <v>150</v>
      </c>
    </row>
    <row r="201" customFormat="false" ht="15" hidden="false" customHeight="false" outlineLevel="0" collapsed="false">
      <c r="A201" s="10" t="s">
        <v>1226</v>
      </c>
      <c r="B201" s="10" t="n">
        <v>2</v>
      </c>
      <c r="C201" s="11" t="s">
        <v>1777</v>
      </c>
      <c r="D201" s="10" t="s">
        <v>1857</v>
      </c>
      <c r="E201" s="11"/>
      <c r="F201" s="11"/>
    </row>
    <row r="202" customFormat="false" ht="15" hidden="false" customHeight="false" outlineLevel="0" collapsed="false">
      <c r="A202" s="10" t="s">
        <v>1226</v>
      </c>
      <c r="B202" s="10" t="n">
        <v>3</v>
      </c>
      <c r="C202" s="11" t="s">
        <v>1777</v>
      </c>
      <c r="D202" s="10" t="s">
        <v>1855</v>
      </c>
      <c r="E202" s="11"/>
      <c r="F202" s="11"/>
    </row>
    <row r="203" customFormat="false" ht="15" hidden="false" customHeight="false" outlineLevel="0" collapsed="false">
      <c r="A203" s="10" t="s">
        <v>1232</v>
      </c>
      <c r="B203" s="10" t="n">
        <v>1</v>
      </c>
      <c r="C203" s="11" t="s">
        <v>1777</v>
      </c>
      <c r="D203" s="10" t="s">
        <v>1824</v>
      </c>
      <c r="E203" s="11"/>
      <c r="F203" s="11"/>
    </row>
    <row r="204" customFormat="false" ht="15" hidden="false" customHeight="false" outlineLevel="0" collapsed="false">
      <c r="A204" s="10" t="s">
        <v>1232</v>
      </c>
      <c r="B204" s="10" t="n">
        <v>2</v>
      </c>
      <c r="C204" s="11" t="s">
        <v>1777</v>
      </c>
      <c r="D204" s="10" t="s">
        <v>1816</v>
      </c>
      <c r="E204" s="11"/>
      <c r="F204" s="11"/>
    </row>
    <row r="205" customFormat="false" ht="15" hidden="false" customHeight="false" outlineLevel="0" collapsed="false">
      <c r="A205" s="10" t="s">
        <v>1232</v>
      </c>
      <c r="B205" s="10" t="n">
        <v>3</v>
      </c>
      <c r="C205" s="11" t="s">
        <v>1781</v>
      </c>
      <c r="D205" s="10" t="s">
        <v>1795</v>
      </c>
      <c r="E205" s="11" t="n">
        <v>60</v>
      </c>
      <c r="F205" s="11"/>
    </row>
    <row r="206" customFormat="false" ht="15" hidden="false" customHeight="false" outlineLevel="0" collapsed="false">
      <c r="A206" s="10" t="s">
        <v>1232</v>
      </c>
      <c r="B206" s="10" t="n">
        <v>4</v>
      </c>
      <c r="C206" s="11" t="s">
        <v>1777</v>
      </c>
      <c r="D206" s="10" t="s">
        <v>1858</v>
      </c>
      <c r="E206" s="11"/>
      <c r="F206" s="11"/>
    </row>
    <row r="207" customFormat="false" ht="15" hidden="false" customHeight="false" outlineLevel="0" collapsed="false">
      <c r="A207" s="10" t="s">
        <v>1247</v>
      </c>
      <c r="B207" s="10" t="n">
        <v>1</v>
      </c>
      <c r="C207" s="11" t="s">
        <v>1777</v>
      </c>
      <c r="D207" s="10" t="s">
        <v>1859</v>
      </c>
      <c r="E207" s="11"/>
      <c r="F207" s="11"/>
    </row>
    <row r="208" customFormat="false" ht="15" hidden="false" customHeight="false" outlineLevel="0" collapsed="false">
      <c r="A208" s="10" t="s">
        <v>1247</v>
      </c>
      <c r="B208" s="10" t="n">
        <v>2</v>
      </c>
      <c r="C208" s="11" t="s">
        <v>1775</v>
      </c>
      <c r="D208" s="10" t="s">
        <v>1860</v>
      </c>
      <c r="E208" s="11" t="n">
        <v>110</v>
      </c>
      <c r="F208" s="11"/>
    </row>
    <row r="209" customFormat="false" ht="15" hidden="false" customHeight="false" outlineLevel="0" collapsed="false">
      <c r="A209" s="10" t="s">
        <v>1247</v>
      </c>
      <c r="B209" s="10" t="n">
        <v>3</v>
      </c>
      <c r="C209" s="11" t="s">
        <v>1781</v>
      </c>
      <c r="D209" s="10" t="s">
        <v>1861</v>
      </c>
      <c r="E209" s="11" t="n">
        <v>120</v>
      </c>
      <c r="F209" s="11"/>
    </row>
    <row r="210" customFormat="false" ht="23.85" hidden="false" customHeight="false" outlineLevel="0" collapsed="false">
      <c r="A210" s="10" t="s">
        <v>1257</v>
      </c>
      <c r="B210" s="10" t="n">
        <v>1</v>
      </c>
      <c r="C210" s="11" t="s">
        <v>1777</v>
      </c>
      <c r="D210" s="10" t="s">
        <v>1862</v>
      </c>
      <c r="E210" s="11"/>
      <c r="F210" s="11"/>
    </row>
    <row r="211" customFormat="false" ht="15" hidden="false" customHeight="false" outlineLevel="0" collapsed="false">
      <c r="A211" s="10" t="s">
        <v>1257</v>
      </c>
      <c r="B211" s="10" t="n">
        <v>2</v>
      </c>
      <c r="C211" s="11" t="s">
        <v>1775</v>
      </c>
      <c r="D211" s="10" t="s">
        <v>1863</v>
      </c>
      <c r="E211" s="11" t="n">
        <v>110</v>
      </c>
      <c r="F211" s="11"/>
    </row>
    <row r="212" customFormat="false" ht="15" hidden="false" customHeight="false" outlineLevel="0" collapsed="false">
      <c r="A212" s="10" t="s">
        <v>1257</v>
      </c>
      <c r="B212" s="10" t="n">
        <v>3</v>
      </c>
      <c r="C212" s="11" t="s">
        <v>1781</v>
      </c>
      <c r="D212" s="10" t="s">
        <v>1861</v>
      </c>
      <c r="E212" s="11" t="n">
        <v>120</v>
      </c>
      <c r="F212" s="11"/>
    </row>
    <row r="213" customFormat="false" ht="15" hidden="false" customHeight="false" outlineLevel="0" collapsed="false">
      <c r="A213" s="10" t="s">
        <v>1265</v>
      </c>
      <c r="B213" s="10" t="n">
        <v>1</v>
      </c>
      <c r="C213" s="11" t="s">
        <v>1777</v>
      </c>
      <c r="D213" s="10" t="s">
        <v>1864</v>
      </c>
      <c r="E213" s="11"/>
      <c r="F213" s="11"/>
    </row>
    <row r="214" customFormat="false" ht="15" hidden="false" customHeight="false" outlineLevel="0" collapsed="false">
      <c r="A214" s="10" t="s">
        <v>1265</v>
      </c>
      <c r="B214" s="10" t="n">
        <v>2</v>
      </c>
      <c r="C214" s="11" t="s">
        <v>1775</v>
      </c>
      <c r="D214" s="10" t="s">
        <v>1860</v>
      </c>
      <c r="E214" s="11" t="n">
        <v>110</v>
      </c>
      <c r="F214" s="11"/>
    </row>
    <row r="215" customFormat="false" ht="15" hidden="false" customHeight="false" outlineLevel="0" collapsed="false">
      <c r="A215" s="10" t="s">
        <v>1265</v>
      </c>
      <c r="B215" s="10" t="n">
        <v>3</v>
      </c>
      <c r="C215" s="11" t="s">
        <v>1781</v>
      </c>
      <c r="D215" s="10" t="s">
        <v>1861</v>
      </c>
      <c r="E215" s="11" t="n">
        <v>120</v>
      </c>
      <c r="F215" s="11"/>
    </row>
    <row r="216" customFormat="false" ht="15" hidden="false" customHeight="false" outlineLevel="0" collapsed="false">
      <c r="A216" s="10" t="s">
        <v>1275</v>
      </c>
      <c r="B216" s="10" t="n">
        <v>1</v>
      </c>
      <c r="C216" s="11" t="s">
        <v>1777</v>
      </c>
      <c r="D216" s="10" t="s">
        <v>1789</v>
      </c>
      <c r="E216" s="11"/>
      <c r="F216" s="11"/>
    </row>
    <row r="217" customFormat="false" ht="15" hidden="false" customHeight="false" outlineLevel="0" collapsed="false">
      <c r="A217" s="10" t="s">
        <v>1275</v>
      </c>
      <c r="B217" s="10" t="n">
        <v>2</v>
      </c>
      <c r="C217" s="11" t="s">
        <v>1775</v>
      </c>
      <c r="D217" s="10" t="s">
        <v>1779</v>
      </c>
      <c r="E217" s="11" t="n">
        <v>180</v>
      </c>
      <c r="F217" s="11"/>
    </row>
    <row r="218" customFormat="false" ht="15" hidden="false" customHeight="false" outlineLevel="0" collapsed="false">
      <c r="A218" s="10" t="s">
        <v>1275</v>
      </c>
      <c r="B218" s="10" t="n">
        <v>3</v>
      </c>
      <c r="C218" s="11" t="s">
        <v>1777</v>
      </c>
      <c r="D218" s="10" t="s">
        <v>1783</v>
      </c>
      <c r="E218" s="11"/>
      <c r="F218" s="11"/>
    </row>
    <row r="219" customFormat="false" ht="15" hidden="false" customHeight="false" outlineLevel="0" collapsed="false">
      <c r="A219" s="10" t="s">
        <v>1275</v>
      </c>
      <c r="B219" s="10" t="n">
        <v>4</v>
      </c>
      <c r="C219" s="11" t="s">
        <v>1775</v>
      </c>
      <c r="D219" s="10" t="s">
        <v>1779</v>
      </c>
      <c r="E219" s="11" t="n">
        <v>120</v>
      </c>
      <c r="F219" s="11"/>
    </row>
    <row r="220" customFormat="false" ht="15" hidden="false" customHeight="false" outlineLevel="0" collapsed="false">
      <c r="A220" s="10" t="s">
        <v>1275</v>
      </c>
      <c r="B220" s="10" t="n">
        <v>5</v>
      </c>
      <c r="C220" s="11" t="s">
        <v>1781</v>
      </c>
      <c r="D220" s="10" t="s">
        <v>1790</v>
      </c>
      <c r="E220" s="11" t="n">
        <v>60</v>
      </c>
      <c r="F220" s="11"/>
    </row>
    <row r="221" customFormat="false" ht="15" hidden="false" customHeight="false" outlineLevel="0" collapsed="false">
      <c r="A221" s="10" t="s">
        <v>1282</v>
      </c>
      <c r="B221" s="10" t="n">
        <v>1</v>
      </c>
      <c r="C221" s="11" t="s">
        <v>1777</v>
      </c>
      <c r="D221" s="10" t="s">
        <v>1789</v>
      </c>
      <c r="E221" s="11"/>
      <c r="F221" s="11"/>
    </row>
    <row r="222" customFormat="false" ht="15" hidden="false" customHeight="false" outlineLevel="0" collapsed="false">
      <c r="A222" s="10" t="s">
        <v>1282</v>
      </c>
      <c r="B222" s="10" t="n">
        <v>2</v>
      </c>
      <c r="C222" s="11" t="s">
        <v>1775</v>
      </c>
      <c r="D222" s="10" t="s">
        <v>1779</v>
      </c>
      <c r="E222" s="11" t="n">
        <v>150</v>
      </c>
      <c r="F222" s="11"/>
    </row>
    <row r="223" customFormat="false" ht="15" hidden="false" customHeight="false" outlineLevel="0" collapsed="false">
      <c r="A223" s="10" t="s">
        <v>1282</v>
      </c>
      <c r="B223" s="10" t="n">
        <v>3</v>
      </c>
      <c r="C223" s="11" t="s">
        <v>1777</v>
      </c>
      <c r="D223" s="10" t="s">
        <v>1865</v>
      </c>
      <c r="E223" s="11"/>
      <c r="F223" s="11"/>
    </row>
    <row r="224" customFormat="false" ht="15" hidden="false" customHeight="false" outlineLevel="0" collapsed="false">
      <c r="A224" s="10" t="s">
        <v>1282</v>
      </c>
      <c r="B224" s="10" t="n">
        <v>4</v>
      </c>
      <c r="C224" s="11" t="s">
        <v>1775</v>
      </c>
      <c r="D224" s="10" t="s">
        <v>1779</v>
      </c>
      <c r="E224" s="11" t="n">
        <v>90</v>
      </c>
      <c r="F224" s="11"/>
    </row>
    <row r="225" customFormat="false" ht="15" hidden="false" customHeight="false" outlineLevel="0" collapsed="false">
      <c r="A225" s="10" t="s">
        <v>1282</v>
      </c>
      <c r="B225" s="10" t="n">
        <v>5</v>
      </c>
      <c r="C225" s="11" t="s">
        <v>1781</v>
      </c>
      <c r="D225" s="10" t="s">
        <v>1790</v>
      </c>
      <c r="E225" s="11" t="n">
        <v>60</v>
      </c>
      <c r="F225" s="11"/>
    </row>
    <row r="226" customFormat="false" ht="15" hidden="false" customHeight="false" outlineLevel="0" collapsed="false">
      <c r="A226" s="10" t="s">
        <v>1289</v>
      </c>
      <c r="B226" s="10" t="n">
        <v>1</v>
      </c>
      <c r="C226" s="11" t="s">
        <v>1777</v>
      </c>
      <c r="D226" s="10" t="s">
        <v>1787</v>
      </c>
      <c r="E226" s="11"/>
      <c r="F226" s="11"/>
    </row>
    <row r="227" customFormat="false" ht="15" hidden="false" customHeight="false" outlineLevel="0" collapsed="false">
      <c r="A227" s="10" t="s">
        <v>1289</v>
      </c>
      <c r="B227" s="10" t="n">
        <v>2</v>
      </c>
      <c r="C227" s="11" t="s">
        <v>1775</v>
      </c>
      <c r="D227" s="10" t="s">
        <v>1779</v>
      </c>
      <c r="E227" s="11" t="n">
        <v>180</v>
      </c>
      <c r="F227" s="11"/>
    </row>
    <row r="228" customFormat="false" ht="15" hidden="false" customHeight="false" outlineLevel="0" collapsed="false">
      <c r="A228" s="10" t="s">
        <v>1289</v>
      </c>
      <c r="B228" s="10" t="n">
        <v>3</v>
      </c>
      <c r="C228" s="11" t="s">
        <v>1777</v>
      </c>
      <c r="D228" s="10" t="s">
        <v>1785</v>
      </c>
      <c r="E228" s="11"/>
      <c r="F228" s="11"/>
    </row>
    <row r="229" customFormat="false" ht="15" hidden="false" customHeight="false" outlineLevel="0" collapsed="false">
      <c r="A229" s="10" t="s">
        <v>1289</v>
      </c>
      <c r="B229" s="10" t="n">
        <v>4</v>
      </c>
      <c r="C229" s="11" t="s">
        <v>1775</v>
      </c>
      <c r="D229" s="10" t="s">
        <v>1866</v>
      </c>
      <c r="E229" s="11" t="n">
        <v>240</v>
      </c>
      <c r="F229" s="11"/>
    </row>
    <row r="230" customFormat="false" ht="15" hidden="false" customHeight="false" outlineLevel="0" collapsed="false">
      <c r="A230" s="10" t="s">
        <v>1289</v>
      </c>
      <c r="B230" s="10" t="n">
        <v>5</v>
      </c>
      <c r="C230" s="11" t="s">
        <v>1781</v>
      </c>
      <c r="D230" s="10" t="s">
        <v>1790</v>
      </c>
      <c r="E230" s="11" t="n">
        <v>60</v>
      </c>
      <c r="F230" s="11"/>
    </row>
    <row r="231" customFormat="false" ht="15" hidden="false" customHeight="false" outlineLevel="0" collapsed="false">
      <c r="A231" s="10" t="s">
        <v>1298</v>
      </c>
      <c r="B231" s="10" t="n">
        <v>1</v>
      </c>
      <c r="C231" s="11" t="s">
        <v>1777</v>
      </c>
      <c r="D231" s="10" t="s">
        <v>1867</v>
      </c>
      <c r="E231" s="11"/>
      <c r="F231" s="11"/>
    </row>
    <row r="232" customFormat="false" ht="15" hidden="false" customHeight="false" outlineLevel="0" collapsed="false">
      <c r="A232" s="10" t="s">
        <v>1298</v>
      </c>
      <c r="B232" s="10" t="n">
        <v>2</v>
      </c>
      <c r="C232" s="11" t="s">
        <v>1775</v>
      </c>
      <c r="D232" s="10" t="s">
        <v>1868</v>
      </c>
      <c r="E232" s="11" t="n">
        <v>90</v>
      </c>
      <c r="F232" s="11"/>
    </row>
    <row r="233" customFormat="false" ht="15" hidden="false" customHeight="false" outlineLevel="0" collapsed="false">
      <c r="A233" s="10" t="s">
        <v>1298</v>
      </c>
      <c r="B233" s="10" t="n">
        <v>3</v>
      </c>
      <c r="C233" s="11" t="s">
        <v>1829</v>
      </c>
      <c r="D233" s="10" t="s">
        <v>1869</v>
      </c>
      <c r="E233" s="11" t="n">
        <v>360</v>
      </c>
      <c r="F233" s="11"/>
    </row>
    <row r="234" customFormat="false" ht="15" hidden="false" customHeight="false" outlineLevel="0" collapsed="false">
      <c r="A234" s="10" t="s">
        <v>1298</v>
      </c>
      <c r="B234" s="10" t="n">
        <v>4</v>
      </c>
      <c r="C234" s="11" t="s">
        <v>1781</v>
      </c>
      <c r="D234" s="10" t="s">
        <v>1790</v>
      </c>
      <c r="E234" s="11" t="n">
        <v>60</v>
      </c>
      <c r="F234" s="11"/>
    </row>
    <row r="235" customFormat="false" ht="15" hidden="false" customHeight="false" outlineLevel="0" collapsed="false">
      <c r="A235" s="10" t="s">
        <v>1306</v>
      </c>
      <c r="B235" s="10" t="n">
        <v>1</v>
      </c>
      <c r="C235" s="11" t="s">
        <v>1777</v>
      </c>
      <c r="D235" s="10" t="s">
        <v>1870</v>
      </c>
      <c r="E235" s="11"/>
      <c r="F235" s="11"/>
    </row>
    <row r="236" customFormat="false" ht="15" hidden="false" customHeight="false" outlineLevel="0" collapsed="false">
      <c r="A236" s="10" t="s">
        <v>1306</v>
      </c>
      <c r="B236" s="10" t="n">
        <v>2</v>
      </c>
      <c r="C236" s="11" t="s">
        <v>1777</v>
      </c>
      <c r="D236" s="10" t="s">
        <v>1871</v>
      </c>
      <c r="E236" s="11"/>
      <c r="F236" s="11"/>
    </row>
    <row r="237" customFormat="false" ht="15" hidden="false" customHeight="false" outlineLevel="0" collapsed="false">
      <c r="A237" s="10" t="s">
        <v>1306</v>
      </c>
      <c r="B237" s="10" t="n">
        <v>3</v>
      </c>
      <c r="C237" s="11" t="s">
        <v>1775</v>
      </c>
      <c r="D237" s="10" t="s">
        <v>1872</v>
      </c>
      <c r="E237" s="11" t="n">
        <v>210</v>
      </c>
      <c r="F237" s="11"/>
    </row>
    <row r="238" customFormat="false" ht="15" hidden="false" customHeight="false" outlineLevel="0" collapsed="false">
      <c r="A238" s="10" t="s">
        <v>1306</v>
      </c>
      <c r="B238" s="10" t="n">
        <v>4</v>
      </c>
      <c r="C238" s="11" t="s">
        <v>1777</v>
      </c>
      <c r="D238" s="10" t="s">
        <v>1873</v>
      </c>
      <c r="E238" s="11"/>
      <c r="F238" s="11"/>
    </row>
    <row r="239" customFormat="false" ht="15" hidden="false" customHeight="false" outlineLevel="0" collapsed="false">
      <c r="A239" s="10" t="s">
        <v>1314</v>
      </c>
      <c r="B239" s="10" t="n">
        <v>1</v>
      </c>
      <c r="C239" s="11" t="s">
        <v>1777</v>
      </c>
      <c r="D239" s="10" t="s">
        <v>1874</v>
      </c>
      <c r="E239" s="11"/>
      <c r="F239" s="11"/>
    </row>
    <row r="240" customFormat="false" ht="15" hidden="false" customHeight="false" outlineLevel="0" collapsed="false">
      <c r="A240" s="10" t="s">
        <v>1314</v>
      </c>
      <c r="B240" s="10" t="n">
        <v>2</v>
      </c>
      <c r="C240" s="11" t="s">
        <v>1777</v>
      </c>
      <c r="D240" s="10" t="s">
        <v>1871</v>
      </c>
      <c r="E240" s="11"/>
      <c r="F240" s="11"/>
    </row>
    <row r="241" customFormat="false" ht="15" hidden="false" customHeight="false" outlineLevel="0" collapsed="false">
      <c r="A241" s="10" t="s">
        <v>1314</v>
      </c>
      <c r="B241" s="10" t="n">
        <v>3</v>
      </c>
      <c r="C241" s="11" t="s">
        <v>1775</v>
      </c>
      <c r="D241" s="10" t="s">
        <v>1872</v>
      </c>
      <c r="E241" s="11" t="n">
        <v>210</v>
      </c>
      <c r="F241" s="11"/>
    </row>
    <row r="242" customFormat="false" ht="15" hidden="false" customHeight="false" outlineLevel="0" collapsed="false">
      <c r="A242" s="10" t="s">
        <v>1314</v>
      </c>
      <c r="B242" s="10" t="n">
        <v>4</v>
      </c>
      <c r="C242" s="11" t="s">
        <v>1777</v>
      </c>
      <c r="D242" s="10" t="s">
        <v>1805</v>
      </c>
      <c r="E242" s="11"/>
      <c r="F242" s="11"/>
    </row>
    <row r="243" customFormat="false" ht="15" hidden="false" customHeight="false" outlineLevel="0" collapsed="false">
      <c r="A243" s="10" t="s">
        <v>1319</v>
      </c>
      <c r="B243" s="10" t="n">
        <v>1</v>
      </c>
      <c r="C243" s="11" t="s">
        <v>1777</v>
      </c>
      <c r="D243" s="10" t="s">
        <v>1875</v>
      </c>
      <c r="E243" s="11"/>
      <c r="F243" s="11"/>
    </row>
    <row r="244" customFormat="false" ht="15" hidden="false" customHeight="false" outlineLevel="0" collapsed="false">
      <c r="A244" s="10" t="s">
        <v>1319</v>
      </c>
      <c r="B244" s="10" t="n">
        <v>2</v>
      </c>
      <c r="C244" s="11" t="s">
        <v>1777</v>
      </c>
      <c r="D244" s="10" t="s">
        <v>1876</v>
      </c>
      <c r="E244" s="11"/>
      <c r="F244" s="11"/>
    </row>
    <row r="245" customFormat="false" ht="15" hidden="false" customHeight="false" outlineLevel="0" collapsed="false">
      <c r="A245" s="10" t="s">
        <v>1319</v>
      </c>
      <c r="B245" s="10" t="n">
        <v>3</v>
      </c>
      <c r="C245" s="11" t="s">
        <v>1775</v>
      </c>
      <c r="D245" s="10" t="s">
        <v>1877</v>
      </c>
      <c r="E245" s="11" t="n">
        <v>120</v>
      </c>
      <c r="F245" s="11"/>
    </row>
    <row r="246" customFormat="false" ht="15" hidden="false" customHeight="false" outlineLevel="0" collapsed="false">
      <c r="A246" s="10" t="s">
        <v>1319</v>
      </c>
      <c r="B246" s="10" t="n">
        <v>4</v>
      </c>
      <c r="C246" s="11" t="s">
        <v>1777</v>
      </c>
      <c r="D246" s="10" t="s">
        <v>1878</v>
      </c>
      <c r="E246" s="11"/>
      <c r="F246" s="11"/>
    </row>
    <row r="247" customFormat="false" ht="23.85" hidden="false" customHeight="false" outlineLevel="0" collapsed="false">
      <c r="A247" s="10" t="s">
        <v>1325</v>
      </c>
      <c r="B247" s="10" t="n">
        <v>1</v>
      </c>
      <c r="C247" s="11" t="s">
        <v>1777</v>
      </c>
      <c r="D247" s="10" t="s">
        <v>1879</v>
      </c>
      <c r="E247" s="11"/>
      <c r="F247" s="11"/>
    </row>
    <row r="248" customFormat="false" ht="15" hidden="false" customHeight="false" outlineLevel="0" collapsed="false">
      <c r="A248" s="10" t="s">
        <v>1325</v>
      </c>
      <c r="B248" s="10" t="n">
        <v>2</v>
      </c>
      <c r="C248" s="11" t="s">
        <v>1777</v>
      </c>
      <c r="D248" s="10" t="s">
        <v>1876</v>
      </c>
      <c r="E248" s="11"/>
      <c r="F248" s="11"/>
    </row>
    <row r="249" customFormat="false" ht="15" hidden="false" customHeight="false" outlineLevel="0" collapsed="false">
      <c r="A249" s="10" t="s">
        <v>1325</v>
      </c>
      <c r="B249" s="10" t="n">
        <v>3</v>
      </c>
      <c r="C249" s="11" t="s">
        <v>1775</v>
      </c>
      <c r="D249" s="10" t="s">
        <v>1877</v>
      </c>
      <c r="E249" s="11" t="n">
        <v>90</v>
      </c>
      <c r="F249" s="11"/>
    </row>
    <row r="250" customFormat="false" ht="15" hidden="false" customHeight="false" outlineLevel="0" collapsed="false">
      <c r="A250" s="10" t="s">
        <v>1325</v>
      </c>
      <c r="B250" s="10" t="n">
        <v>4</v>
      </c>
      <c r="C250" s="11" t="s">
        <v>1777</v>
      </c>
      <c r="D250" s="10" t="s">
        <v>1880</v>
      </c>
      <c r="E250" s="11"/>
      <c r="F250" s="11"/>
    </row>
    <row r="251" customFormat="false" ht="15" hidden="false" customHeight="false" outlineLevel="0" collapsed="false">
      <c r="A251" s="10" t="s">
        <v>1325</v>
      </c>
      <c r="B251" s="10" t="n">
        <v>5</v>
      </c>
      <c r="C251" s="11" t="s">
        <v>1775</v>
      </c>
      <c r="D251" s="10" t="s">
        <v>1881</v>
      </c>
      <c r="E251" s="11" t="n">
        <v>90</v>
      </c>
      <c r="F251" s="11"/>
    </row>
    <row r="252" customFormat="false" ht="15" hidden="false" customHeight="false" outlineLevel="0" collapsed="false">
      <c r="A252" s="10" t="s">
        <v>1325</v>
      </c>
      <c r="B252" s="10" t="n">
        <v>6</v>
      </c>
      <c r="C252" s="11" t="s">
        <v>1777</v>
      </c>
      <c r="D252" s="10" t="s">
        <v>1882</v>
      </c>
      <c r="E252" s="11"/>
      <c r="F252" s="11"/>
    </row>
    <row r="253" customFormat="false" ht="15" hidden="false" customHeight="false" outlineLevel="0" collapsed="false">
      <c r="A253" s="10" t="s">
        <v>1330</v>
      </c>
      <c r="B253" s="10" t="n">
        <v>1</v>
      </c>
      <c r="C253" s="11" t="s">
        <v>1777</v>
      </c>
      <c r="D253" s="10" t="s">
        <v>1883</v>
      </c>
      <c r="E253" s="11"/>
      <c r="F253" s="11"/>
    </row>
    <row r="254" customFormat="false" ht="15" hidden="false" customHeight="false" outlineLevel="0" collapsed="false">
      <c r="A254" s="10" t="s">
        <v>1330</v>
      </c>
      <c r="B254" s="10" t="n">
        <v>2</v>
      </c>
      <c r="C254" s="11" t="s">
        <v>1775</v>
      </c>
      <c r="D254" s="10" t="s">
        <v>1797</v>
      </c>
      <c r="E254" s="11" t="n">
        <v>60</v>
      </c>
      <c r="F254" s="11"/>
    </row>
    <row r="255" customFormat="false" ht="15" hidden="false" customHeight="false" outlineLevel="0" collapsed="false">
      <c r="A255" s="10" t="s">
        <v>1330</v>
      </c>
      <c r="B255" s="10" t="n">
        <v>3</v>
      </c>
      <c r="C255" s="11" t="s">
        <v>1781</v>
      </c>
      <c r="D255" s="10" t="s">
        <v>1813</v>
      </c>
      <c r="E255" s="11" t="n">
        <v>60</v>
      </c>
      <c r="F255" s="11"/>
    </row>
    <row r="256" customFormat="false" ht="15" hidden="false" customHeight="false" outlineLevel="0" collapsed="false">
      <c r="A256" s="10" t="s">
        <v>1330</v>
      </c>
      <c r="B256" s="10" t="n">
        <v>4</v>
      </c>
      <c r="C256" s="11" t="s">
        <v>1777</v>
      </c>
      <c r="D256" s="10" t="s">
        <v>1884</v>
      </c>
      <c r="E256" s="11"/>
      <c r="F256" s="11"/>
    </row>
    <row r="257" customFormat="false" ht="15" hidden="false" customHeight="false" outlineLevel="0" collapsed="false">
      <c r="A257" s="10" t="s">
        <v>1337</v>
      </c>
      <c r="B257" s="10" t="n">
        <v>1</v>
      </c>
      <c r="C257" s="11" t="s">
        <v>1777</v>
      </c>
      <c r="D257" s="10" t="s">
        <v>1883</v>
      </c>
      <c r="E257" s="11"/>
      <c r="F257" s="11"/>
    </row>
    <row r="258" customFormat="false" ht="15" hidden="false" customHeight="false" outlineLevel="0" collapsed="false">
      <c r="A258" s="10" t="s">
        <v>1337</v>
      </c>
      <c r="B258" s="10" t="n">
        <v>2</v>
      </c>
      <c r="C258" s="11" t="s">
        <v>1775</v>
      </c>
      <c r="D258" s="10" t="s">
        <v>1797</v>
      </c>
      <c r="E258" s="11" t="n">
        <v>60</v>
      </c>
      <c r="F258" s="11"/>
    </row>
    <row r="259" customFormat="false" ht="15" hidden="false" customHeight="false" outlineLevel="0" collapsed="false">
      <c r="A259" s="10" t="s">
        <v>1337</v>
      </c>
      <c r="B259" s="10" t="n">
        <v>3</v>
      </c>
      <c r="C259" s="11" t="s">
        <v>1781</v>
      </c>
      <c r="D259" s="10" t="s">
        <v>1813</v>
      </c>
      <c r="E259" s="11" t="n">
        <v>60</v>
      </c>
      <c r="F259" s="11"/>
    </row>
    <row r="260" customFormat="false" ht="15" hidden="false" customHeight="false" outlineLevel="0" collapsed="false">
      <c r="A260" s="10" t="s">
        <v>1337</v>
      </c>
      <c r="B260" s="10" t="n">
        <v>4</v>
      </c>
      <c r="C260" s="11" t="s">
        <v>1777</v>
      </c>
      <c r="D260" s="10" t="s">
        <v>1884</v>
      </c>
      <c r="E260" s="11"/>
      <c r="F260" s="11"/>
    </row>
    <row r="261" customFormat="false" ht="15" hidden="false" customHeight="false" outlineLevel="0" collapsed="false">
      <c r="A261" s="10" t="s">
        <v>1344</v>
      </c>
      <c r="B261" s="10" t="n">
        <v>1</v>
      </c>
      <c r="C261" s="11" t="s">
        <v>1777</v>
      </c>
      <c r="D261" s="10" t="s">
        <v>1807</v>
      </c>
      <c r="E261" s="11"/>
      <c r="F261" s="11"/>
    </row>
    <row r="262" customFormat="false" ht="15" hidden="false" customHeight="false" outlineLevel="0" collapsed="false">
      <c r="A262" s="10" t="s">
        <v>1344</v>
      </c>
      <c r="B262" s="10" t="n">
        <v>2</v>
      </c>
      <c r="C262" s="11" t="s">
        <v>1775</v>
      </c>
      <c r="D262" s="10" t="s">
        <v>1877</v>
      </c>
      <c r="E262" s="11" t="n">
        <v>90</v>
      </c>
      <c r="F262" s="11"/>
    </row>
    <row r="263" customFormat="false" ht="15" hidden="false" customHeight="false" outlineLevel="0" collapsed="false">
      <c r="A263" s="10" t="s">
        <v>1344</v>
      </c>
      <c r="B263" s="10" t="n">
        <v>3</v>
      </c>
      <c r="C263" s="11" t="s">
        <v>1781</v>
      </c>
      <c r="D263" s="10" t="s">
        <v>1808</v>
      </c>
      <c r="E263" s="11" t="n">
        <v>60</v>
      </c>
      <c r="F263" s="11"/>
    </row>
    <row r="264" customFormat="false" ht="15" hidden="false" customHeight="false" outlineLevel="0" collapsed="false">
      <c r="A264" s="10" t="s">
        <v>1344</v>
      </c>
      <c r="B264" s="10" t="n">
        <v>4</v>
      </c>
      <c r="C264" s="11" t="s">
        <v>1775</v>
      </c>
      <c r="D264" s="10" t="s">
        <v>1809</v>
      </c>
      <c r="E264" s="11" t="n">
        <v>30</v>
      </c>
      <c r="F264" s="11"/>
    </row>
    <row r="265" customFormat="false" ht="15" hidden="false" customHeight="false" outlineLevel="0" collapsed="false">
      <c r="A265" s="10" t="s">
        <v>1344</v>
      </c>
      <c r="B265" s="10" t="n">
        <v>5</v>
      </c>
      <c r="C265" s="11" t="s">
        <v>1777</v>
      </c>
      <c r="D265" s="10" t="s">
        <v>1885</v>
      </c>
      <c r="E265" s="11"/>
      <c r="F265" s="11"/>
    </row>
    <row r="266" customFormat="false" ht="15" hidden="false" customHeight="false" outlineLevel="0" collapsed="false">
      <c r="A266" s="10" t="s">
        <v>1352</v>
      </c>
      <c r="B266" s="10" t="n">
        <v>1</v>
      </c>
      <c r="C266" s="11" t="s">
        <v>1777</v>
      </c>
      <c r="D266" s="10" t="s">
        <v>1807</v>
      </c>
      <c r="E266" s="11"/>
      <c r="F266" s="11"/>
    </row>
    <row r="267" customFormat="false" ht="15" hidden="false" customHeight="false" outlineLevel="0" collapsed="false">
      <c r="A267" s="10" t="s">
        <v>1352</v>
      </c>
      <c r="B267" s="10" t="n">
        <v>2</v>
      </c>
      <c r="C267" s="11" t="s">
        <v>1775</v>
      </c>
      <c r="D267" s="10" t="s">
        <v>1877</v>
      </c>
      <c r="E267" s="11" t="n">
        <v>90</v>
      </c>
      <c r="F267" s="11"/>
    </row>
    <row r="268" customFormat="false" ht="15" hidden="false" customHeight="false" outlineLevel="0" collapsed="false">
      <c r="A268" s="10" t="s">
        <v>1352</v>
      </c>
      <c r="B268" s="10" t="n">
        <v>3</v>
      </c>
      <c r="C268" s="11" t="s">
        <v>1781</v>
      </c>
      <c r="D268" s="10" t="s">
        <v>1808</v>
      </c>
      <c r="E268" s="11" t="n">
        <v>60</v>
      </c>
      <c r="F268" s="11"/>
    </row>
    <row r="269" customFormat="false" ht="15" hidden="false" customHeight="false" outlineLevel="0" collapsed="false">
      <c r="A269" s="10" t="s">
        <v>1352</v>
      </c>
      <c r="B269" s="10" t="n">
        <v>4</v>
      </c>
      <c r="C269" s="11" t="s">
        <v>1775</v>
      </c>
      <c r="D269" s="10" t="s">
        <v>1886</v>
      </c>
      <c r="E269" s="11" t="n">
        <v>30</v>
      </c>
      <c r="F269" s="11"/>
    </row>
    <row r="270" customFormat="false" ht="15" hidden="false" customHeight="false" outlineLevel="0" collapsed="false">
      <c r="A270" s="10" t="s">
        <v>1352</v>
      </c>
      <c r="B270" s="10" t="n">
        <v>5</v>
      </c>
      <c r="C270" s="11" t="s">
        <v>1777</v>
      </c>
      <c r="D270" s="10" t="s">
        <v>1885</v>
      </c>
      <c r="E270" s="11"/>
      <c r="F270" s="11"/>
    </row>
    <row r="271" customFormat="false" ht="15" hidden="false" customHeight="false" outlineLevel="0" collapsed="false">
      <c r="A271" s="10" t="s">
        <v>1358</v>
      </c>
      <c r="B271" s="10" t="n">
        <v>1</v>
      </c>
      <c r="C271" s="11" t="s">
        <v>1777</v>
      </c>
      <c r="D271" s="10" t="s">
        <v>1887</v>
      </c>
      <c r="E271" s="11"/>
      <c r="F271" s="11"/>
    </row>
    <row r="272" customFormat="false" ht="15" hidden="false" customHeight="false" outlineLevel="0" collapsed="false">
      <c r="A272" s="10" t="s">
        <v>1358</v>
      </c>
      <c r="B272" s="10" t="n">
        <v>2</v>
      </c>
      <c r="C272" s="11" t="s">
        <v>1775</v>
      </c>
      <c r="D272" s="10" t="s">
        <v>1779</v>
      </c>
      <c r="E272" s="11" t="n">
        <v>240</v>
      </c>
      <c r="F272" s="11" t="n">
        <v>300</v>
      </c>
    </row>
    <row r="273" customFormat="false" ht="15" hidden="false" customHeight="false" outlineLevel="0" collapsed="false">
      <c r="A273" s="10" t="s">
        <v>1358</v>
      </c>
      <c r="B273" s="10" t="n">
        <v>3</v>
      </c>
      <c r="C273" s="11" t="s">
        <v>1781</v>
      </c>
      <c r="D273" s="10" t="s">
        <v>1888</v>
      </c>
      <c r="E273" s="11" t="n">
        <v>60</v>
      </c>
      <c r="F273" s="11"/>
    </row>
    <row r="274" customFormat="false" ht="15" hidden="false" customHeight="false" outlineLevel="0" collapsed="false">
      <c r="A274" s="10" t="s">
        <v>1367</v>
      </c>
      <c r="B274" s="10" t="n">
        <v>1</v>
      </c>
      <c r="C274" s="11" t="s">
        <v>1777</v>
      </c>
      <c r="D274" s="10" t="s">
        <v>1887</v>
      </c>
      <c r="E274" s="11"/>
      <c r="F274" s="11"/>
    </row>
    <row r="275" customFormat="false" ht="15" hidden="false" customHeight="false" outlineLevel="0" collapsed="false">
      <c r="A275" s="10" t="s">
        <v>1367</v>
      </c>
      <c r="B275" s="10" t="n">
        <v>2</v>
      </c>
      <c r="C275" s="11" t="s">
        <v>1775</v>
      </c>
      <c r="D275" s="10" t="s">
        <v>1889</v>
      </c>
      <c r="E275" s="11" t="n">
        <v>270</v>
      </c>
      <c r="F275" s="11"/>
    </row>
    <row r="276" customFormat="false" ht="15" hidden="false" customHeight="false" outlineLevel="0" collapsed="false">
      <c r="A276" s="10" t="s">
        <v>1367</v>
      </c>
      <c r="B276" s="10" t="n">
        <v>3</v>
      </c>
      <c r="C276" s="11" t="s">
        <v>1777</v>
      </c>
      <c r="D276" s="10" t="s">
        <v>1890</v>
      </c>
      <c r="E276" s="11"/>
      <c r="F276" s="11"/>
    </row>
    <row r="277" customFormat="false" ht="15" hidden="false" customHeight="false" outlineLevel="0" collapsed="false">
      <c r="A277" s="10" t="s">
        <v>1367</v>
      </c>
      <c r="B277" s="10" t="n">
        <v>4</v>
      </c>
      <c r="C277" s="11" t="s">
        <v>1775</v>
      </c>
      <c r="D277" s="10" t="s">
        <v>1779</v>
      </c>
      <c r="E277" s="11" t="n">
        <v>60</v>
      </c>
      <c r="F277" s="11" t="n">
        <v>90</v>
      </c>
    </row>
    <row r="278" customFormat="false" ht="15" hidden="false" customHeight="false" outlineLevel="0" collapsed="false">
      <c r="A278" s="10" t="s">
        <v>1367</v>
      </c>
      <c r="B278" s="10" t="n">
        <v>5</v>
      </c>
      <c r="C278" s="11" t="s">
        <v>1781</v>
      </c>
      <c r="D278" s="10" t="s">
        <v>1888</v>
      </c>
      <c r="E278" s="11" t="n">
        <v>60</v>
      </c>
      <c r="F278" s="11"/>
    </row>
    <row r="279" customFormat="false" ht="15" hidden="false" customHeight="false" outlineLevel="0" collapsed="false">
      <c r="A279" s="10" t="s">
        <v>1374</v>
      </c>
      <c r="B279" s="10" t="n">
        <v>1</v>
      </c>
      <c r="C279" s="11" t="s">
        <v>1777</v>
      </c>
      <c r="D279" s="10" t="s">
        <v>1891</v>
      </c>
      <c r="E279" s="11"/>
      <c r="F279" s="11"/>
    </row>
    <row r="280" customFormat="false" ht="15" hidden="false" customHeight="false" outlineLevel="0" collapsed="false">
      <c r="A280" s="10" t="s">
        <v>1374</v>
      </c>
      <c r="B280" s="10" t="n">
        <v>2</v>
      </c>
      <c r="C280" s="11" t="s">
        <v>1775</v>
      </c>
      <c r="D280" s="10" t="s">
        <v>1877</v>
      </c>
      <c r="E280" s="11" t="n">
        <v>120</v>
      </c>
      <c r="F280" s="11"/>
    </row>
    <row r="281" customFormat="false" ht="15" hidden="false" customHeight="false" outlineLevel="0" collapsed="false">
      <c r="A281" s="10" t="s">
        <v>1374</v>
      </c>
      <c r="B281" s="10" t="n">
        <v>3</v>
      </c>
      <c r="C281" s="11" t="s">
        <v>1777</v>
      </c>
      <c r="D281" s="10" t="s">
        <v>1892</v>
      </c>
      <c r="E281" s="11"/>
      <c r="F281" s="11"/>
    </row>
    <row r="282" customFormat="false" ht="15" hidden="false" customHeight="false" outlineLevel="0" collapsed="false">
      <c r="A282" s="10" t="s">
        <v>1374</v>
      </c>
      <c r="B282" s="10" t="n">
        <v>4</v>
      </c>
      <c r="C282" s="11" t="s">
        <v>1775</v>
      </c>
      <c r="D282" s="10" t="s">
        <v>1893</v>
      </c>
      <c r="E282" s="11" t="n">
        <v>60</v>
      </c>
      <c r="F282" s="11"/>
    </row>
    <row r="283" customFormat="false" ht="15" hidden="false" customHeight="false" outlineLevel="0" collapsed="false">
      <c r="A283" s="10" t="s">
        <v>1374</v>
      </c>
      <c r="B283" s="10" t="n">
        <v>5</v>
      </c>
      <c r="C283" s="11" t="s">
        <v>1781</v>
      </c>
      <c r="D283" s="10" t="s">
        <v>1894</v>
      </c>
      <c r="E283" s="11" t="n">
        <v>60</v>
      </c>
      <c r="F283" s="11"/>
    </row>
    <row r="284" customFormat="false" ht="15" hidden="false" customHeight="false" outlineLevel="0" collapsed="false">
      <c r="A284" s="10" t="s">
        <v>1382</v>
      </c>
      <c r="B284" s="10" t="n">
        <v>1</v>
      </c>
      <c r="C284" s="11" t="s">
        <v>1777</v>
      </c>
      <c r="D284" s="10" t="s">
        <v>1895</v>
      </c>
      <c r="E284" s="11"/>
      <c r="F284" s="11"/>
    </row>
    <row r="285" customFormat="false" ht="15" hidden="false" customHeight="false" outlineLevel="0" collapsed="false">
      <c r="A285" s="10" t="s">
        <v>1382</v>
      </c>
      <c r="B285" s="10" t="n">
        <v>2</v>
      </c>
      <c r="C285" s="11" t="s">
        <v>1775</v>
      </c>
      <c r="D285" s="10" t="s">
        <v>1896</v>
      </c>
      <c r="E285" s="11" t="n">
        <v>90</v>
      </c>
      <c r="F285" s="11"/>
    </row>
    <row r="286" customFormat="false" ht="15" hidden="false" customHeight="false" outlineLevel="0" collapsed="false">
      <c r="A286" s="10" t="s">
        <v>1382</v>
      </c>
      <c r="B286" s="10" t="n">
        <v>3</v>
      </c>
      <c r="C286" s="11" t="s">
        <v>1777</v>
      </c>
      <c r="D286" s="10" t="s">
        <v>1897</v>
      </c>
      <c r="E286" s="11"/>
      <c r="F286" s="11"/>
    </row>
    <row r="287" customFormat="false" ht="15" hidden="false" customHeight="false" outlineLevel="0" collapsed="false">
      <c r="A287" s="10" t="s">
        <v>1382</v>
      </c>
      <c r="B287" s="10" t="n">
        <v>4</v>
      </c>
      <c r="C287" s="11" t="s">
        <v>1775</v>
      </c>
      <c r="D287" s="10" t="s">
        <v>1898</v>
      </c>
      <c r="E287" s="11" t="n">
        <v>65</v>
      </c>
      <c r="F287" s="11"/>
    </row>
    <row r="288" customFormat="false" ht="15" hidden="false" customHeight="false" outlineLevel="0" collapsed="false">
      <c r="A288" s="10" t="s">
        <v>1382</v>
      </c>
      <c r="B288" s="10" t="n">
        <v>5</v>
      </c>
      <c r="C288" s="11" t="s">
        <v>1781</v>
      </c>
      <c r="D288" s="10" t="s">
        <v>1781</v>
      </c>
      <c r="E288" s="11" t="n">
        <v>120</v>
      </c>
      <c r="F288" s="11"/>
    </row>
    <row r="289" customFormat="false" ht="15" hidden="false" customHeight="false" outlineLevel="0" collapsed="false">
      <c r="A289" s="10" t="s">
        <v>1390</v>
      </c>
      <c r="B289" s="10" t="n">
        <v>1</v>
      </c>
      <c r="C289" s="11" t="s">
        <v>1777</v>
      </c>
      <c r="D289" s="10" t="s">
        <v>1899</v>
      </c>
      <c r="E289" s="11"/>
      <c r="F289" s="11"/>
    </row>
    <row r="290" customFormat="false" ht="15" hidden="false" customHeight="false" outlineLevel="0" collapsed="false">
      <c r="A290" s="10" t="s">
        <v>1390</v>
      </c>
      <c r="B290" s="10" t="n">
        <v>2</v>
      </c>
      <c r="C290" s="11" t="s">
        <v>1775</v>
      </c>
      <c r="D290" s="10" t="s">
        <v>1900</v>
      </c>
      <c r="E290" s="11" t="n">
        <v>75</v>
      </c>
      <c r="F290" s="11"/>
    </row>
    <row r="291" customFormat="false" ht="15" hidden="false" customHeight="false" outlineLevel="0" collapsed="false">
      <c r="A291" s="10" t="s">
        <v>1390</v>
      </c>
      <c r="B291" s="10" t="n">
        <v>3</v>
      </c>
      <c r="C291" s="11" t="s">
        <v>1781</v>
      </c>
      <c r="D291" s="10" t="s">
        <v>1790</v>
      </c>
      <c r="E291" s="11" t="n">
        <v>30</v>
      </c>
      <c r="F291" s="11"/>
    </row>
    <row r="292" customFormat="false" ht="15" hidden="false" customHeight="false" outlineLevel="0" collapsed="false">
      <c r="A292" s="10" t="s">
        <v>1398</v>
      </c>
      <c r="B292" s="10" t="n">
        <v>1</v>
      </c>
      <c r="C292" s="11" t="s">
        <v>1777</v>
      </c>
      <c r="D292" s="10" t="s">
        <v>1901</v>
      </c>
      <c r="E292" s="11"/>
      <c r="F292" s="11"/>
    </row>
    <row r="293" customFormat="false" ht="15" hidden="false" customHeight="false" outlineLevel="0" collapsed="false">
      <c r="A293" s="10" t="s">
        <v>1398</v>
      </c>
      <c r="B293" s="10" t="n">
        <v>2</v>
      </c>
      <c r="C293" s="11" t="s">
        <v>1775</v>
      </c>
      <c r="D293" s="10" t="s">
        <v>1902</v>
      </c>
      <c r="E293" s="11" t="n">
        <v>90</v>
      </c>
      <c r="F293" s="11"/>
    </row>
    <row r="294" customFormat="false" ht="15" hidden="false" customHeight="false" outlineLevel="0" collapsed="false">
      <c r="A294" s="10" t="s">
        <v>1398</v>
      </c>
      <c r="B294" s="10" t="n">
        <v>3</v>
      </c>
      <c r="C294" s="11" t="s">
        <v>1781</v>
      </c>
      <c r="D294" s="10" t="s">
        <v>1781</v>
      </c>
      <c r="E294" s="11" t="n">
        <v>60</v>
      </c>
      <c r="F294" s="11" t="n">
        <v>120</v>
      </c>
    </row>
    <row r="295" customFormat="false" ht="15" hidden="false" customHeight="false" outlineLevel="0" collapsed="false">
      <c r="A295" s="10" t="s">
        <v>1406</v>
      </c>
      <c r="B295" s="10" t="n">
        <v>1</v>
      </c>
      <c r="C295" s="11" t="s">
        <v>1777</v>
      </c>
      <c r="D295" s="10" t="s">
        <v>1903</v>
      </c>
      <c r="E295" s="11"/>
      <c r="F295" s="11"/>
    </row>
    <row r="296" customFormat="false" ht="15" hidden="false" customHeight="false" outlineLevel="0" collapsed="false">
      <c r="A296" s="10" t="s">
        <v>1406</v>
      </c>
      <c r="B296" s="10" t="n">
        <v>2</v>
      </c>
      <c r="C296" s="11" t="s">
        <v>1775</v>
      </c>
      <c r="D296" s="10" t="s">
        <v>1877</v>
      </c>
      <c r="E296" s="11" t="n">
        <v>195</v>
      </c>
      <c r="F296" s="11"/>
    </row>
    <row r="297" customFormat="false" ht="15" hidden="false" customHeight="false" outlineLevel="0" collapsed="false">
      <c r="A297" s="10" t="s">
        <v>1406</v>
      </c>
      <c r="B297" s="10" t="n">
        <v>3</v>
      </c>
      <c r="C297" s="11" t="s">
        <v>1777</v>
      </c>
      <c r="D297" s="10" t="s">
        <v>1904</v>
      </c>
      <c r="E297" s="11"/>
      <c r="F297" s="11"/>
    </row>
    <row r="298" customFormat="false" ht="15" hidden="false" customHeight="false" outlineLevel="0" collapsed="false">
      <c r="A298" s="10" t="s">
        <v>1406</v>
      </c>
      <c r="B298" s="10" t="n">
        <v>4</v>
      </c>
      <c r="C298" s="11" t="s">
        <v>1775</v>
      </c>
      <c r="D298" s="10" t="s">
        <v>1779</v>
      </c>
      <c r="E298" s="11" t="n">
        <v>60</v>
      </c>
      <c r="F298" s="11"/>
    </row>
    <row r="299" customFormat="false" ht="15" hidden="false" customHeight="false" outlineLevel="0" collapsed="false">
      <c r="A299" s="10" t="s">
        <v>1406</v>
      </c>
      <c r="B299" s="10" t="n">
        <v>5</v>
      </c>
      <c r="C299" s="11" t="s">
        <v>1781</v>
      </c>
      <c r="D299" s="10" t="s">
        <v>1905</v>
      </c>
      <c r="E299" s="11" t="n">
        <v>60</v>
      </c>
      <c r="F299" s="11"/>
    </row>
    <row r="300" customFormat="false" ht="15" hidden="false" customHeight="false" outlineLevel="0" collapsed="false">
      <c r="A300" s="10" t="s">
        <v>1406</v>
      </c>
      <c r="B300" s="10" t="n">
        <v>6</v>
      </c>
      <c r="C300" s="11" t="s">
        <v>1777</v>
      </c>
      <c r="D300" s="10" t="s">
        <v>1880</v>
      </c>
      <c r="E300" s="11"/>
      <c r="F300" s="11"/>
    </row>
    <row r="301" customFormat="false" ht="15" hidden="false" customHeight="false" outlineLevel="0" collapsed="false">
      <c r="A301" s="10" t="s">
        <v>1414</v>
      </c>
      <c r="B301" s="10" t="n">
        <v>1</v>
      </c>
      <c r="C301" s="11" t="s">
        <v>1777</v>
      </c>
      <c r="D301" s="10" t="s">
        <v>1906</v>
      </c>
      <c r="E301" s="11"/>
      <c r="F301" s="11"/>
    </row>
    <row r="302" customFormat="false" ht="15" hidden="false" customHeight="false" outlineLevel="0" collapsed="false">
      <c r="A302" s="10" t="s">
        <v>1414</v>
      </c>
      <c r="B302" s="10" t="n">
        <v>2</v>
      </c>
      <c r="C302" s="11" t="s">
        <v>1777</v>
      </c>
      <c r="D302" s="10" t="s">
        <v>1907</v>
      </c>
      <c r="E302" s="11"/>
      <c r="F302" s="11"/>
    </row>
    <row r="303" customFormat="false" ht="15" hidden="false" customHeight="false" outlineLevel="0" collapsed="false">
      <c r="A303" s="10" t="s">
        <v>1414</v>
      </c>
      <c r="B303" s="10" t="n">
        <v>3</v>
      </c>
      <c r="C303" s="11" t="s">
        <v>1775</v>
      </c>
      <c r="D303" s="10" t="s">
        <v>1908</v>
      </c>
      <c r="E303" s="11" t="n">
        <v>90</v>
      </c>
      <c r="F303" s="11"/>
    </row>
    <row r="304" customFormat="false" ht="15" hidden="false" customHeight="false" outlineLevel="0" collapsed="false">
      <c r="A304" s="10" t="s">
        <v>1414</v>
      </c>
      <c r="B304" s="10" t="n">
        <v>4</v>
      </c>
      <c r="C304" s="11" t="s">
        <v>1777</v>
      </c>
      <c r="D304" s="10" t="s">
        <v>1909</v>
      </c>
      <c r="E304" s="11"/>
      <c r="F304" s="11"/>
    </row>
    <row r="305" customFormat="false" ht="15" hidden="false" customHeight="false" outlineLevel="0" collapsed="false">
      <c r="A305" s="10" t="s">
        <v>1422</v>
      </c>
      <c r="B305" s="10" t="n">
        <v>1</v>
      </c>
      <c r="C305" s="11" t="s">
        <v>1777</v>
      </c>
      <c r="D305" s="10" t="s">
        <v>1906</v>
      </c>
      <c r="E305" s="11"/>
      <c r="F305" s="11"/>
    </row>
    <row r="306" customFormat="false" ht="15" hidden="false" customHeight="false" outlineLevel="0" collapsed="false">
      <c r="A306" s="10" t="s">
        <v>1422</v>
      </c>
      <c r="B306" s="10" t="n">
        <v>2</v>
      </c>
      <c r="C306" s="11" t="s">
        <v>1777</v>
      </c>
      <c r="D306" s="10" t="s">
        <v>1907</v>
      </c>
      <c r="E306" s="11"/>
      <c r="F306" s="11"/>
    </row>
    <row r="307" customFormat="false" ht="15" hidden="false" customHeight="false" outlineLevel="0" collapsed="false">
      <c r="A307" s="10" t="s">
        <v>1422</v>
      </c>
      <c r="B307" s="10" t="n">
        <v>3</v>
      </c>
      <c r="C307" s="11" t="s">
        <v>1775</v>
      </c>
      <c r="D307" s="10" t="s">
        <v>1908</v>
      </c>
      <c r="E307" s="11" t="n">
        <v>90</v>
      </c>
      <c r="F307" s="11"/>
    </row>
    <row r="308" customFormat="false" ht="15" hidden="false" customHeight="false" outlineLevel="0" collapsed="false">
      <c r="A308" s="10" t="s">
        <v>1422</v>
      </c>
      <c r="B308" s="10" t="n">
        <v>4</v>
      </c>
      <c r="C308" s="11" t="s">
        <v>1777</v>
      </c>
      <c r="D308" s="10" t="s">
        <v>1909</v>
      </c>
      <c r="E308" s="11"/>
      <c r="F308" s="11"/>
    </row>
    <row r="309" customFormat="false" ht="15" hidden="false" customHeight="false" outlineLevel="0" collapsed="false">
      <c r="A309" s="10" t="s">
        <v>1427</v>
      </c>
      <c r="B309" s="10" t="n">
        <v>1</v>
      </c>
      <c r="C309" s="11" t="s">
        <v>1775</v>
      </c>
      <c r="D309" s="10" t="s">
        <v>1826</v>
      </c>
      <c r="E309" s="11" t="n">
        <v>90</v>
      </c>
      <c r="F309" s="11"/>
    </row>
    <row r="310" customFormat="false" ht="15" hidden="false" customHeight="false" outlineLevel="0" collapsed="false">
      <c r="A310" s="10" t="s">
        <v>1432</v>
      </c>
      <c r="B310" s="10" t="n">
        <v>1</v>
      </c>
      <c r="C310" s="11" t="s">
        <v>1777</v>
      </c>
      <c r="D310" s="10" t="s">
        <v>1910</v>
      </c>
      <c r="E310" s="11"/>
      <c r="F310" s="11"/>
    </row>
    <row r="311" customFormat="false" ht="15" hidden="false" customHeight="false" outlineLevel="0" collapsed="false">
      <c r="A311" s="10" t="s">
        <v>1432</v>
      </c>
      <c r="B311" s="10" t="n">
        <v>2</v>
      </c>
      <c r="C311" s="11" t="s">
        <v>1775</v>
      </c>
      <c r="D311" s="10" t="s">
        <v>1911</v>
      </c>
      <c r="E311" s="11" t="n">
        <v>60</v>
      </c>
      <c r="F311" s="11"/>
    </row>
    <row r="312" customFormat="false" ht="15" hidden="false" customHeight="false" outlineLevel="0" collapsed="false">
      <c r="A312" s="10" t="s">
        <v>1432</v>
      </c>
      <c r="B312" s="10" t="n">
        <v>3</v>
      </c>
      <c r="C312" s="11" t="s">
        <v>1777</v>
      </c>
      <c r="D312" s="10" t="s">
        <v>1912</v>
      </c>
      <c r="E312" s="11"/>
      <c r="F312" s="11"/>
    </row>
    <row r="313" customFormat="false" ht="15" hidden="false" customHeight="false" outlineLevel="0" collapsed="false">
      <c r="A313" s="10" t="s">
        <v>1440</v>
      </c>
      <c r="B313" s="10" t="n">
        <v>1</v>
      </c>
      <c r="C313" s="11" t="s">
        <v>1775</v>
      </c>
      <c r="D313" s="10" t="s">
        <v>1913</v>
      </c>
      <c r="E313" s="11" t="n">
        <v>60</v>
      </c>
      <c r="F313" s="11"/>
    </row>
    <row r="314" customFormat="false" ht="15" hidden="false" customHeight="false" outlineLevel="0" collapsed="false">
      <c r="A314" s="10" t="s">
        <v>1445</v>
      </c>
      <c r="B314" s="10" t="n">
        <v>1</v>
      </c>
      <c r="C314" s="11" t="s">
        <v>1777</v>
      </c>
      <c r="D314" s="10" t="s">
        <v>1906</v>
      </c>
      <c r="E314" s="11"/>
      <c r="F314" s="11"/>
    </row>
    <row r="315" customFormat="false" ht="15" hidden="false" customHeight="false" outlineLevel="0" collapsed="false">
      <c r="A315" s="10" t="s">
        <v>1445</v>
      </c>
      <c r="B315" s="10" t="n">
        <v>2</v>
      </c>
      <c r="C315" s="11" t="s">
        <v>1777</v>
      </c>
      <c r="D315" s="10" t="s">
        <v>1907</v>
      </c>
      <c r="E315" s="11"/>
      <c r="F315" s="11"/>
    </row>
    <row r="316" customFormat="false" ht="15" hidden="false" customHeight="false" outlineLevel="0" collapsed="false">
      <c r="A316" s="10" t="s">
        <v>1445</v>
      </c>
      <c r="B316" s="10" t="n">
        <v>3</v>
      </c>
      <c r="C316" s="11" t="s">
        <v>1775</v>
      </c>
      <c r="D316" s="10" t="s">
        <v>1914</v>
      </c>
      <c r="E316" s="11" t="n">
        <v>90</v>
      </c>
      <c r="F316" s="11"/>
    </row>
    <row r="317" customFormat="false" ht="15" hidden="false" customHeight="false" outlineLevel="0" collapsed="false">
      <c r="A317" s="10" t="s">
        <v>1451</v>
      </c>
      <c r="B317" s="10" t="n">
        <v>1</v>
      </c>
      <c r="C317" s="11" t="s">
        <v>1777</v>
      </c>
      <c r="D317" s="10" t="s">
        <v>1906</v>
      </c>
      <c r="E317" s="11"/>
      <c r="F317" s="11"/>
    </row>
    <row r="318" customFormat="false" ht="15" hidden="false" customHeight="false" outlineLevel="0" collapsed="false">
      <c r="A318" s="10" t="s">
        <v>1451</v>
      </c>
      <c r="B318" s="10" t="n">
        <v>2</v>
      </c>
      <c r="C318" s="11" t="s">
        <v>1775</v>
      </c>
      <c r="D318" s="10" t="s">
        <v>1826</v>
      </c>
      <c r="E318" s="11" t="n">
        <v>90</v>
      </c>
      <c r="F318" s="11"/>
    </row>
    <row r="319" customFormat="false" ht="23.85" hidden="false" customHeight="false" outlineLevel="0" collapsed="false">
      <c r="A319" s="10" t="s">
        <v>1457</v>
      </c>
      <c r="B319" s="10" t="n">
        <v>1</v>
      </c>
      <c r="C319" s="11" t="s">
        <v>1777</v>
      </c>
      <c r="D319" s="10" t="s">
        <v>1915</v>
      </c>
      <c r="E319" s="11"/>
      <c r="F319" s="11"/>
    </row>
    <row r="320" customFormat="false" ht="15" hidden="false" customHeight="false" outlineLevel="0" collapsed="false">
      <c r="A320" s="10" t="s">
        <v>1457</v>
      </c>
      <c r="B320" s="10" t="n">
        <v>2</v>
      </c>
      <c r="C320" s="11" t="s">
        <v>1775</v>
      </c>
      <c r="D320" s="10" t="s">
        <v>1877</v>
      </c>
      <c r="E320" s="11" t="n">
        <v>600</v>
      </c>
      <c r="F320" s="11"/>
    </row>
    <row r="321" customFormat="false" ht="15" hidden="false" customHeight="false" outlineLevel="0" collapsed="false">
      <c r="A321" s="10" t="s">
        <v>1457</v>
      </c>
      <c r="B321" s="10" t="n">
        <v>3</v>
      </c>
      <c r="C321" s="11" t="s">
        <v>1777</v>
      </c>
      <c r="D321" s="10" t="s">
        <v>1916</v>
      </c>
      <c r="E321" s="11"/>
      <c r="F321" s="11"/>
    </row>
    <row r="322" customFormat="false" ht="15" hidden="false" customHeight="false" outlineLevel="0" collapsed="false">
      <c r="A322" s="10" t="s">
        <v>1457</v>
      </c>
      <c r="B322" s="10" t="n">
        <v>4</v>
      </c>
      <c r="C322" s="11" t="s">
        <v>1777</v>
      </c>
      <c r="D322" s="10" t="s">
        <v>1917</v>
      </c>
      <c r="E322" s="11"/>
      <c r="F322" s="11"/>
    </row>
    <row r="323" customFormat="false" ht="15" hidden="false" customHeight="false" outlineLevel="0" collapsed="false">
      <c r="A323" s="10" t="s">
        <v>1465</v>
      </c>
      <c r="B323" s="10" t="n">
        <v>1</v>
      </c>
      <c r="C323" s="11" t="s">
        <v>1777</v>
      </c>
      <c r="D323" s="10" t="s">
        <v>1918</v>
      </c>
      <c r="E323" s="11"/>
      <c r="F323" s="11"/>
    </row>
    <row r="324" customFormat="false" ht="15" hidden="false" customHeight="false" outlineLevel="0" collapsed="false">
      <c r="A324" s="10" t="s">
        <v>1465</v>
      </c>
      <c r="B324" s="10" t="n">
        <v>2</v>
      </c>
      <c r="C324" s="11" t="s">
        <v>1777</v>
      </c>
      <c r="D324" s="10" t="s">
        <v>1919</v>
      </c>
      <c r="E324" s="11"/>
      <c r="F324" s="11"/>
    </row>
    <row r="325" customFormat="false" ht="15" hidden="false" customHeight="false" outlineLevel="0" collapsed="false">
      <c r="A325" s="10" t="s">
        <v>1465</v>
      </c>
      <c r="B325" s="10" t="n">
        <v>3</v>
      </c>
      <c r="C325" s="11" t="s">
        <v>1777</v>
      </c>
      <c r="D325" s="10" t="s">
        <v>1920</v>
      </c>
      <c r="E325" s="11"/>
      <c r="F325" s="11"/>
    </row>
    <row r="326" customFormat="false" ht="15" hidden="false" customHeight="false" outlineLevel="0" collapsed="false">
      <c r="A326" s="10" t="s">
        <v>1465</v>
      </c>
      <c r="B326" s="10" t="n">
        <v>4</v>
      </c>
      <c r="C326" s="11" t="s">
        <v>1775</v>
      </c>
      <c r="D326" s="10" t="s">
        <v>1921</v>
      </c>
      <c r="E326" s="11" t="n">
        <v>90</v>
      </c>
      <c r="F326" s="11"/>
    </row>
    <row r="327" customFormat="false" ht="15" hidden="false" customHeight="false" outlineLevel="0" collapsed="false">
      <c r="A327" s="10" t="s">
        <v>1465</v>
      </c>
      <c r="B327" s="10" t="n">
        <v>5</v>
      </c>
      <c r="C327" s="11" t="s">
        <v>1777</v>
      </c>
      <c r="D327" s="10" t="s">
        <v>1922</v>
      </c>
      <c r="E327" s="11"/>
      <c r="F327" s="11"/>
    </row>
    <row r="328" customFormat="false" ht="15" hidden="false" customHeight="false" outlineLevel="0" collapsed="false">
      <c r="A328" s="10" t="s">
        <v>1465</v>
      </c>
      <c r="B328" s="10" t="n">
        <v>6</v>
      </c>
      <c r="C328" s="11" t="s">
        <v>1781</v>
      </c>
      <c r="D328" s="10" t="s">
        <v>1781</v>
      </c>
      <c r="E328" s="11" t="n">
        <v>60</v>
      </c>
      <c r="F328" s="11"/>
    </row>
    <row r="329" customFormat="false" ht="15" hidden="false" customHeight="false" outlineLevel="0" collapsed="false">
      <c r="A329" s="10" t="s">
        <v>1473</v>
      </c>
      <c r="B329" s="10" t="n">
        <v>1</v>
      </c>
      <c r="C329" s="11" t="s">
        <v>1777</v>
      </c>
      <c r="D329" s="10" t="s">
        <v>1918</v>
      </c>
      <c r="E329" s="11"/>
      <c r="F329" s="11"/>
    </row>
    <row r="330" customFormat="false" ht="15" hidden="false" customHeight="false" outlineLevel="0" collapsed="false">
      <c r="A330" s="10" t="s">
        <v>1473</v>
      </c>
      <c r="B330" s="10" t="n">
        <v>2</v>
      </c>
      <c r="C330" s="11" t="s">
        <v>1777</v>
      </c>
      <c r="D330" s="10" t="s">
        <v>1923</v>
      </c>
      <c r="E330" s="11"/>
      <c r="F330" s="11"/>
    </row>
    <row r="331" customFormat="false" ht="15" hidden="false" customHeight="false" outlineLevel="0" collapsed="false">
      <c r="A331" s="10" t="s">
        <v>1473</v>
      </c>
      <c r="B331" s="10" t="n">
        <v>3</v>
      </c>
      <c r="C331" s="11" t="s">
        <v>1777</v>
      </c>
      <c r="D331" s="10" t="s">
        <v>1920</v>
      </c>
      <c r="E331" s="11"/>
      <c r="F331" s="11"/>
    </row>
    <row r="332" customFormat="false" ht="15" hidden="false" customHeight="false" outlineLevel="0" collapsed="false">
      <c r="A332" s="10" t="s">
        <v>1473</v>
      </c>
      <c r="B332" s="10" t="n">
        <v>4</v>
      </c>
      <c r="C332" s="11" t="s">
        <v>1775</v>
      </c>
      <c r="D332" s="10" t="s">
        <v>1921</v>
      </c>
      <c r="E332" s="11" t="n">
        <v>90</v>
      </c>
      <c r="F332" s="11"/>
    </row>
    <row r="333" customFormat="false" ht="15" hidden="false" customHeight="false" outlineLevel="0" collapsed="false">
      <c r="A333" s="10" t="s">
        <v>1473</v>
      </c>
      <c r="B333" s="10" t="n">
        <v>5</v>
      </c>
      <c r="C333" s="11" t="s">
        <v>1777</v>
      </c>
      <c r="D333" s="10" t="s">
        <v>1922</v>
      </c>
      <c r="E333" s="11"/>
      <c r="F333" s="11"/>
    </row>
    <row r="334" customFormat="false" ht="15" hidden="false" customHeight="false" outlineLevel="0" collapsed="false">
      <c r="A334" s="10" t="s">
        <v>1473</v>
      </c>
      <c r="B334" s="10" t="n">
        <v>6</v>
      </c>
      <c r="C334" s="11" t="s">
        <v>1781</v>
      </c>
      <c r="D334" s="10" t="s">
        <v>1781</v>
      </c>
      <c r="E334" s="11" t="n">
        <v>60</v>
      </c>
      <c r="F334" s="11"/>
    </row>
    <row r="335" customFormat="false" ht="15" hidden="false" customHeight="false" outlineLevel="0" collapsed="false">
      <c r="A335" s="10" t="s">
        <v>1478</v>
      </c>
      <c r="B335" s="10" t="n">
        <v>1</v>
      </c>
      <c r="C335" s="11" t="s">
        <v>1777</v>
      </c>
      <c r="D335" s="10" t="s">
        <v>1924</v>
      </c>
      <c r="E335" s="11"/>
      <c r="F335" s="11"/>
    </row>
    <row r="336" customFormat="false" ht="15" hidden="false" customHeight="false" outlineLevel="0" collapsed="false">
      <c r="A336" s="10" t="s">
        <v>1478</v>
      </c>
      <c r="B336" s="10" t="n">
        <v>2</v>
      </c>
      <c r="C336" s="11" t="s">
        <v>1777</v>
      </c>
      <c r="D336" s="10" t="s">
        <v>1925</v>
      </c>
      <c r="E336" s="11"/>
      <c r="F336" s="11"/>
    </row>
    <row r="337" customFormat="false" ht="15" hidden="false" customHeight="false" outlineLevel="0" collapsed="false">
      <c r="A337" s="10" t="s">
        <v>1478</v>
      </c>
      <c r="B337" s="10" t="n">
        <v>3</v>
      </c>
      <c r="C337" s="11" t="s">
        <v>1775</v>
      </c>
      <c r="D337" s="10" t="s">
        <v>1877</v>
      </c>
      <c r="E337" s="11" t="n">
        <v>180</v>
      </c>
      <c r="F337" s="11"/>
    </row>
    <row r="338" customFormat="false" ht="15" hidden="false" customHeight="false" outlineLevel="0" collapsed="false">
      <c r="A338" s="10" t="s">
        <v>1478</v>
      </c>
      <c r="B338" s="10" t="n">
        <v>4</v>
      </c>
      <c r="C338" s="11" t="s">
        <v>1777</v>
      </c>
      <c r="D338" s="10" t="s">
        <v>1926</v>
      </c>
      <c r="E338" s="11"/>
      <c r="F338" s="11"/>
    </row>
    <row r="339" customFormat="false" ht="15" hidden="false" customHeight="false" outlineLevel="0" collapsed="false">
      <c r="A339" s="10" t="s">
        <v>1478</v>
      </c>
      <c r="B339" s="10" t="n">
        <v>5</v>
      </c>
      <c r="C339" s="11" t="s">
        <v>1775</v>
      </c>
      <c r="D339" s="10" t="s">
        <v>1927</v>
      </c>
      <c r="E339" s="11" t="n">
        <v>120</v>
      </c>
      <c r="F339" s="11" t="n">
        <v>180</v>
      </c>
    </row>
    <row r="340" customFormat="false" ht="15" hidden="false" customHeight="false" outlineLevel="0" collapsed="false">
      <c r="A340" s="10" t="s">
        <v>1478</v>
      </c>
      <c r="B340" s="10" t="n">
        <v>6</v>
      </c>
      <c r="C340" s="11" t="s">
        <v>1781</v>
      </c>
      <c r="D340" s="10" t="s">
        <v>1781</v>
      </c>
      <c r="E340" s="11" t="n">
        <v>120</v>
      </c>
      <c r="F340" s="11"/>
    </row>
    <row r="341" customFormat="false" ht="15" hidden="false" customHeight="false" outlineLevel="0" collapsed="false">
      <c r="A341" s="10" t="s">
        <v>1478</v>
      </c>
      <c r="B341" s="10" t="n">
        <v>7</v>
      </c>
      <c r="C341" s="11" t="s">
        <v>1777</v>
      </c>
      <c r="D341" s="10" t="s">
        <v>1928</v>
      </c>
      <c r="E341" s="11"/>
      <c r="F341" s="11"/>
    </row>
    <row r="342" customFormat="false" ht="15" hidden="false" customHeight="false" outlineLevel="0" collapsed="false">
      <c r="A342" s="10" t="s">
        <v>1488</v>
      </c>
      <c r="B342" s="10" t="n">
        <v>1</v>
      </c>
      <c r="C342" s="11" t="s">
        <v>1777</v>
      </c>
      <c r="D342" s="10" t="s">
        <v>1918</v>
      </c>
      <c r="E342" s="11"/>
      <c r="F342" s="11"/>
    </row>
    <row r="343" customFormat="false" ht="15" hidden="false" customHeight="false" outlineLevel="0" collapsed="false">
      <c r="A343" s="10" t="s">
        <v>1488</v>
      </c>
      <c r="B343" s="10" t="n">
        <v>2</v>
      </c>
      <c r="C343" s="11" t="s">
        <v>1777</v>
      </c>
      <c r="D343" s="10" t="s">
        <v>1929</v>
      </c>
      <c r="E343" s="11"/>
      <c r="F343" s="11"/>
    </row>
    <row r="344" customFormat="false" ht="15" hidden="false" customHeight="false" outlineLevel="0" collapsed="false">
      <c r="A344" s="10" t="s">
        <v>1488</v>
      </c>
      <c r="B344" s="10" t="n">
        <v>3</v>
      </c>
      <c r="C344" s="11" t="s">
        <v>1777</v>
      </c>
      <c r="D344" s="10" t="s">
        <v>1922</v>
      </c>
      <c r="E344" s="11"/>
      <c r="F344" s="11"/>
    </row>
    <row r="345" customFormat="false" ht="15" hidden="false" customHeight="false" outlineLevel="0" collapsed="false">
      <c r="A345" s="10" t="s">
        <v>1488</v>
      </c>
      <c r="B345" s="10" t="n">
        <v>4</v>
      </c>
      <c r="C345" s="11" t="s">
        <v>1775</v>
      </c>
      <c r="D345" s="10" t="s">
        <v>1877</v>
      </c>
      <c r="E345" s="11" t="n">
        <v>45</v>
      </c>
      <c r="F345" s="11" t="n">
        <v>50</v>
      </c>
    </row>
    <row r="346" customFormat="false" ht="15" hidden="false" customHeight="false" outlineLevel="0" collapsed="false">
      <c r="A346" s="10" t="s">
        <v>1488</v>
      </c>
      <c r="B346" s="10" t="n">
        <v>5</v>
      </c>
      <c r="C346" s="11" t="s">
        <v>1781</v>
      </c>
      <c r="D346" s="10" t="s">
        <v>1930</v>
      </c>
      <c r="E346" s="11" t="n">
        <v>120</v>
      </c>
      <c r="F346" s="11"/>
    </row>
    <row r="347" customFormat="false" ht="15" hidden="false" customHeight="false" outlineLevel="0" collapsed="false">
      <c r="A347" s="10" t="s">
        <v>1495</v>
      </c>
      <c r="B347" s="10" t="n">
        <v>1</v>
      </c>
      <c r="C347" s="11" t="s">
        <v>1777</v>
      </c>
      <c r="D347" s="10" t="s">
        <v>1806</v>
      </c>
      <c r="E347" s="11"/>
      <c r="F347" s="11"/>
    </row>
    <row r="348" customFormat="false" ht="15" hidden="false" customHeight="false" outlineLevel="0" collapsed="false">
      <c r="A348" s="10" t="s">
        <v>1495</v>
      </c>
      <c r="B348" s="10" t="n">
        <v>2</v>
      </c>
      <c r="C348" s="11" t="s">
        <v>1775</v>
      </c>
      <c r="D348" s="10" t="s">
        <v>1797</v>
      </c>
      <c r="E348" s="11" t="n">
        <v>135</v>
      </c>
      <c r="F348" s="11"/>
    </row>
    <row r="349" customFormat="false" ht="15" hidden="false" customHeight="false" outlineLevel="0" collapsed="false">
      <c r="A349" s="10" t="s">
        <v>1501</v>
      </c>
      <c r="B349" s="10" t="n">
        <v>1</v>
      </c>
      <c r="C349" s="11" t="s">
        <v>1777</v>
      </c>
      <c r="D349" s="10" t="s">
        <v>1931</v>
      </c>
      <c r="E349" s="11"/>
      <c r="F349" s="11"/>
    </row>
    <row r="350" customFormat="false" ht="15" hidden="false" customHeight="false" outlineLevel="0" collapsed="false">
      <c r="A350" s="10" t="s">
        <v>1501</v>
      </c>
      <c r="B350" s="10" t="n">
        <v>2</v>
      </c>
      <c r="C350" s="11" t="s">
        <v>1775</v>
      </c>
      <c r="D350" s="10" t="s">
        <v>1797</v>
      </c>
      <c r="E350" s="11" t="n">
        <v>180</v>
      </c>
      <c r="F350" s="11"/>
    </row>
    <row r="351" customFormat="false" ht="15" hidden="false" customHeight="false" outlineLevel="0" collapsed="false">
      <c r="A351" s="10" t="s">
        <v>1501</v>
      </c>
      <c r="B351" s="10" t="n">
        <v>3</v>
      </c>
      <c r="C351" s="11" t="s">
        <v>1777</v>
      </c>
      <c r="D351" s="10" t="s">
        <v>1880</v>
      </c>
      <c r="E351" s="11"/>
      <c r="F351" s="11"/>
    </row>
    <row r="352" customFormat="false" ht="15" hidden="false" customHeight="false" outlineLevel="0" collapsed="false">
      <c r="A352" s="10" t="s">
        <v>1506</v>
      </c>
      <c r="B352" s="10" t="n">
        <v>1</v>
      </c>
      <c r="C352" s="11" t="s">
        <v>1777</v>
      </c>
      <c r="D352" s="10" t="s">
        <v>1932</v>
      </c>
      <c r="E352" s="11"/>
      <c r="F352" s="11"/>
    </row>
    <row r="353" customFormat="false" ht="15" hidden="false" customHeight="false" outlineLevel="0" collapsed="false">
      <c r="A353" s="10" t="s">
        <v>1506</v>
      </c>
      <c r="B353" s="10" t="n">
        <v>2</v>
      </c>
      <c r="C353" s="11" t="s">
        <v>1777</v>
      </c>
      <c r="D353" s="10" t="s">
        <v>1933</v>
      </c>
      <c r="E353" s="11"/>
      <c r="F353" s="11"/>
    </row>
    <row r="354" customFormat="false" ht="15" hidden="false" customHeight="false" outlineLevel="0" collapsed="false">
      <c r="A354" s="10" t="s">
        <v>1506</v>
      </c>
      <c r="B354" s="10" t="n">
        <v>3</v>
      </c>
      <c r="C354" s="11" t="s">
        <v>1777</v>
      </c>
      <c r="D354" s="10" t="s">
        <v>1934</v>
      </c>
      <c r="E354" s="11"/>
      <c r="F354" s="11"/>
    </row>
    <row r="355" customFormat="false" ht="15" hidden="false" customHeight="false" outlineLevel="0" collapsed="false">
      <c r="A355" s="10" t="s">
        <v>1506</v>
      </c>
      <c r="B355" s="10" t="n">
        <v>4</v>
      </c>
      <c r="C355" s="11" t="s">
        <v>1775</v>
      </c>
      <c r="D355" s="10" t="s">
        <v>1935</v>
      </c>
      <c r="E355" s="11" t="n">
        <v>75</v>
      </c>
      <c r="F355" s="11"/>
    </row>
    <row r="356" customFormat="false" ht="15" hidden="false" customHeight="false" outlineLevel="0" collapsed="false">
      <c r="A356" s="10" t="s">
        <v>1506</v>
      </c>
      <c r="B356" s="10" t="n">
        <v>5</v>
      </c>
      <c r="C356" s="11" t="s">
        <v>1781</v>
      </c>
      <c r="D356" s="10" t="s">
        <v>1781</v>
      </c>
      <c r="E356" s="11" t="n">
        <v>60</v>
      </c>
      <c r="F356" s="11"/>
    </row>
    <row r="357" customFormat="false" ht="15" hidden="false" customHeight="false" outlineLevel="0" collapsed="false">
      <c r="A357" s="10" t="s">
        <v>1506</v>
      </c>
      <c r="B357" s="10" t="n">
        <v>6</v>
      </c>
      <c r="C357" s="11" t="s">
        <v>1777</v>
      </c>
      <c r="D357" s="10" t="s">
        <v>1936</v>
      </c>
      <c r="E357" s="11"/>
      <c r="F357" s="11"/>
    </row>
    <row r="358" customFormat="false" ht="15" hidden="false" customHeight="false" outlineLevel="0" collapsed="false">
      <c r="A358" s="10" t="s">
        <v>1512</v>
      </c>
      <c r="B358" s="10" t="n">
        <v>1</v>
      </c>
      <c r="C358" s="11" t="s">
        <v>1777</v>
      </c>
      <c r="D358" s="10" t="s">
        <v>1937</v>
      </c>
      <c r="E358" s="11"/>
      <c r="F358" s="11"/>
    </row>
    <row r="359" customFormat="false" ht="15" hidden="false" customHeight="false" outlineLevel="0" collapsed="false">
      <c r="A359" s="10" t="s">
        <v>1512</v>
      </c>
      <c r="B359" s="10" t="n">
        <v>2</v>
      </c>
      <c r="C359" s="11" t="s">
        <v>1775</v>
      </c>
      <c r="D359" s="10" t="s">
        <v>1938</v>
      </c>
      <c r="E359" s="11" t="n">
        <v>75</v>
      </c>
      <c r="F359" s="11"/>
    </row>
    <row r="360" customFormat="false" ht="15" hidden="false" customHeight="false" outlineLevel="0" collapsed="false">
      <c r="A360" s="10" t="s">
        <v>1512</v>
      </c>
      <c r="B360" s="10" t="n">
        <v>3</v>
      </c>
      <c r="C360" s="11" t="s">
        <v>1781</v>
      </c>
      <c r="D360" s="10" t="s">
        <v>1781</v>
      </c>
      <c r="E360" s="11" t="n">
        <v>60</v>
      </c>
      <c r="F360" s="11"/>
    </row>
    <row r="361" customFormat="false" ht="15" hidden="false" customHeight="false" outlineLevel="0" collapsed="false">
      <c r="A361" s="10" t="s">
        <v>1512</v>
      </c>
      <c r="B361" s="10" t="n">
        <v>4</v>
      </c>
      <c r="C361" s="11" t="s">
        <v>1777</v>
      </c>
      <c r="D361" s="10" t="s">
        <v>1939</v>
      </c>
      <c r="E361" s="11"/>
      <c r="F361" s="11"/>
    </row>
    <row r="362" customFormat="false" ht="15" hidden="false" customHeight="false" outlineLevel="0" collapsed="false">
      <c r="A362" s="10" t="s">
        <v>1518</v>
      </c>
      <c r="B362" s="10" t="n">
        <v>1</v>
      </c>
      <c r="C362" s="11" t="s">
        <v>1777</v>
      </c>
      <c r="D362" s="10" t="s">
        <v>1940</v>
      </c>
      <c r="E362" s="11"/>
      <c r="F362" s="11"/>
    </row>
    <row r="363" customFormat="false" ht="23.85" hidden="false" customHeight="false" outlineLevel="0" collapsed="false">
      <c r="A363" s="10" t="s">
        <v>1518</v>
      </c>
      <c r="B363" s="10" t="n">
        <v>2</v>
      </c>
      <c r="C363" s="11" t="s">
        <v>1775</v>
      </c>
      <c r="D363" s="10" t="s">
        <v>1941</v>
      </c>
      <c r="E363" s="11" t="n">
        <v>150</v>
      </c>
      <c r="F363" s="11"/>
    </row>
    <row r="364" customFormat="false" ht="15" hidden="false" customHeight="false" outlineLevel="0" collapsed="false">
      <c r="A364" s="10" t="s">
        <v>1518</v>
      </c>
      <c r="B364" s="10" t="n">
        <v>3</v>
      </c>
      <c r="C364" s="11" t="s">
        <v>1777</v>
      </c>
      <c r="D364" s="10" t="s">
        <v>1942</v>
      </c>
      <c r="E364" s="11"/>
      <c r="F364" s="11"/>
    </row>
    <row r="365" customFormat="false" ht="15" hidden="false" customHeight="false" outlineLevel="0" collapsed="false">
      <c r="A365" s="10" t="s">
        <v>1518</v>
      </c>
      <c r="B365" s="10" t="n">
        <v>4</v>
      </c>
      <c r="C365" s="11" t="s">
        <v>1777</v>
      </c>
      <c r="D365" s="10" t="s">
        <v>1943</v>
      </c>
      <c r="E365" s="11"/>
      <c r="F365" s="11"/>
    </row>
    <row r="366" customFormat="false" ht="15" hidden="false" customHeight="false" outlineLevel="0" collapsed="false">
      <c r="A366" s="10" t="s">
        <v>1526</v>
      </c>
      <c r="B366" s="10" t="n">
        <v>1</v>
      </c>
      <c r="C366" s="11" t="s">
        <v>1777</v>
      </c>
      <c r="D366" s="10" t="s">
        <v>1940</v>
      </c>
      <c r="E366" s="11"/>
      <c r="F366" s="11"/>
    </row>
    <row r="367" customFormat="false" ht="23.85" hidden="false" customHeight="false" outlineLevel="0" collapsed="false">
      <c r="A367" s="10" t="s">
        <v>1526</v>
      </c>
      <c r="B367" s="10" t="n">
        <v>2</v>
      </c>
      <c r="C367" s="11" t="s">
        <v>1775</v>
      </c>
      <c r="D367" s="10" t="s">
        <v>1941</v>
      </c>
      <c r="E367" s="11" t="n">
        <v>150</v>
      </c>
      <c r="F367" s="11"/>
    </row>
    <row r="368" customFormat="false" ht="15" hidden="false" customHeight="false" outlineLevel="0" collapsed="false">
      <c r="A368" s="10" t="s">
        <v>1526</v>
      </c>
      <c r="B368" s="10" t="n">
        <v>3</v>
      </c>
      <c r="C368" s="11" t="s">
        <v>1777</v>
      </c>
      <c r="D368" s="10" t="s">
        <v>1942</v>
      </c>
      <c r="E368" s="11"/>
      <c r="F368" s="11"/>
    </row>
    <row r="369" customFormat="false" ht="15" hidden="false" customHeight="false" outlineLevel="0" collapsed="false">
      <c r="A369" s="10" t="s">
        <v>1526</v>
      </c>
      <c r="B369" s="10" t="n">
        <v>4</v>
      </c>
      <c r="C369" s="11" t="s">
        <v>1777</v>
      </c>
      <c r="D369" s="10" t="s">
        <v>1943</v>
      </c>
      <c r="E369" s="11"/>
      <c r="F369" s="11"/>
    </row>
    <row r="370" customFormat="false" ht="15" hidden="false" customHeight="false" outlineLevel="0" collapsed="false">
      <c r="A370" s="10" t="s">
        <v>1529</v>
      </c>
      <c r="B370" s="10" t="n">
        <v>1</v>
      </c>
      <c r="C370" s="11" t="s">
        <v>1777</v>
      </c>
      <c r="D370" s="10" t="s">
        <v>1940</v>
      </c>
      <c r="E370" s="11"/>
      <c r="F370" s="11"/>
    </row>
    <row r="371" customFormat="false" ht="23.85" hidden="false" customHeight="false" outlineLevel="0" collapsed="false">
      <c r="A371" s="10" t="s">
        <v>1529</v>
      </c>
      <c r="B371" s="10" t="n">
        <v>2</v>
      </c>
      <c r="C371" s="11" t="s">
        <v>1775</v>
      </c>
      <c r="D371" s="10" t="s">
        <v>1941</v>
      </c>
      <c r="E371" s="11" t="n">
        <v>150</v>
      </c>
      <c r="F371" s="11"/>
    </row>
    <row r="372" customFormat="false" ht="15" hidden="false" customHeight="false" outlineLevel="0" collapsed="false">
      <c r="A372" s="10" t="s">
        <v>1529</v>
      </c>
      <c r="B372" s="10" t="n">
        <v>3</v>
      </c>
      <c r="C372" s="11" t="s">
        <v>1777</v>
      </c>
      <c r="D372" s="10" t="s">
        <v>1942</v>
      </c>
      <c r="E372" s="11"/>
      <c r="F372" s="11"/>
    </row>
    <row r="373" customFormat="false" ht="15" hidden="false" customHeight="false" outlineLevel="0" collapsed="false">
      <c r="A373" s="10" t="s">
        <v>1529</v>
      </c>
      <c r="B373" s="10" t="n">
        <v>4</v>
      </c>
      <c r="C373" s="11" t="s">
        <v>1777</v>
      </c>
      <c r="D373" s="10" t="s">
        <v>1943</v>
      </c>
      <c r="E373" s="11"/>
      <c r="F373" s="11"/>
    </row>
    <row r="374" customFormat="false" ht="23.85" hidden="false" customHeight="false" outlineLevel="0" collapsed="false">
      <c r="A374" s="10" t="s">
        <v>1532</v>
      </c>
      <c r="B374" s="10" t="n">
        <v>1</v>
      </c>
      <c r="C374" s="11" t="s">
        <v>1777</v>
      </c>
      <c r="D374" s="10" t="s">
        <v>1944</v>
      </c>
      <c r="E374" s="11"/>
      <c r="F374" s="11"/>
    </row>
    <row r="375" customFormat="false" ht="15" hidden="false" customHeight="false" outlineLevel="0" collapsed="false">
      <c r="A375" s="10" t="s">
        <v>1532</v>
      </c>
      <c r="B375" s="10" t="n">
        <v>2</v>
      </c>
      <c r="C375" s="11" t="s">
        <v>1777</v>
      </c>
      <c r="D375" s="10" t="s">
        <v>1816</v>
      </c>
      <c r="E375" s="11"/>
      <c r="F375" s="11"/>
    </row>
    <row r="376" customFormat="false" ht="15" hidden="false" customHeight="false" outlineLevel="0" collapsed="false">
      <c r="A376" s="10" t="s">
        <v>1532</v>
      </c>
      <c r="B376" s="10" t="n">
        <v>3</v>
      </c>
      <c r="C376" s="11" t="s">
        <v>1777</v>
      </c>
      <c r="D376" s="10" t="s">
        <v>1945</v>
      </c>
      <c r="E376" s="11"/>
      <c r="F376" s="11"/>
    </row>
    <row r="377" customFormat="false" ht="15" hidden="false" customHeight="false" outlineLevel="0" collapsed="false">
      <c r="A377" s="10" t="s">
        <v>1532</v>
      </c>
      <c r="B377" s="10" t="n">
        <v>4</v>
      </c>
      <c r="C377" s="11" t="s">
        <v>1781</v>
      </c>
      <c r="D377" s="10" t="s">
        <v>1781</v>
      </c>
      <c r="E377" s="11" t="n">
        <v>60</v>
      </c>
      <c r="F377" s="11"/>
    </row>
    <row r="378" customFormat="false" ht="15" hidden="false" customHeight="false" outlineLevel="0" collapsed="false">
      <c r="A378" s="10" t="s">
        <v>1532</v>
      </c>
      <c r="B378" s="10" t="n">
        <v>5</v>
      </c>
      <c r="C378" s="11" t="s">
        <v>1777</v>
      </c>
      <c r="D378" s="10" t="s">
        <v>1946</v>
      </c>
      <c r="E378" s="11"/>
      <c r="F378" s="11"/>
    </row>
    <row r="379" customFormat="false" ht="23.85" hidden="false" customHeight="false" outlineLevel="0" collapsed="false">
      <c r="A379" s="10" t="s">
        <v>1539</v>
      </c>
      <c r="B379" s="10" t="n">
        <v>1</v>
      </c>
      <c r="C379" s="11" t="s">
        <v>1777</v>
      </c>
      <c r="D379" s="10" t="s">
        <v>1947</v>
      </c>
      <c r="E379" s="11"/>
      <c r="F379" s="11"/>
    </row>
    <row r="380" customFormat="false" ht="15" hidden="false" customHeight="false" outlineLevel="0" collapsed="false">
      <c r="A380" s="10" t="s">
        <v>1539</v>
      </c>
      <c r="B380" s="10" t="n">
        <v>2</v>
      </c>
      <c r="C380" s="11" t="s">
        <v>1777</v>
      </c>
      <c r="D380" s="10" t="s">
        <v>1816</v>
      </c>
      <c r="E380" s="11"/>
      <c r="F380" s="11"/>
    </row>
    <row r="381" customFormat="false" ht="15" hidden="false" customHeight="false" outlineLevel="0" collapsed="false">
      <c r="A381" s="10" t="s">
        <v>1539</v>
      </c>
      <c r="B381" s="10" t="n">
        <v>3</v>
      </c>
      <c r="C381" s="11" t="s">
        <v>1781</v>
      </c>
      <c r="D381" s="10" t="s">
        <v>1781</v>
      </c>
      <c r="E381" s="11" t="n">
        <v>60</v>
      </c>
      <c r="F381" s="11" t="n">
        <v>120</v>
      </c>
    </row>
    <row r="382" customFormat="false" ht="15" hidden="false" customHeight="false" outlineLevel="0" collapsed="false">
      <c r="A382" s="10" t="s">
        <v>1539</v>
      </c>
      <c r="B382" s="10" t="n">
        <v>4</v>
      </c>
      <c r="C382" s="11" t="s">
        <v>1777</v>
      </c>
      <c r="D382" s="10" t="s">
        <v>1948</v>
      </c>
      <c r="E382" s="11"/>
      <c r="F382" s="11"/>
    </row>
    <row r="383" customFormat="false" ht="15" hidden="false" customHeight="false" outlineLevel="0" collapsed="false">
      <c r="A383" s="10" t="s">
        <v>1539</v>
      </c>
      <c r="B383" s="10" t="n">
        <v>5</v>
      </c>
      <c r="C383" s="11" t="s">
        <v>1777</v>
      </c>
      <c r="D383" s="10" t="s">
        <v>1945</v>
      </c>
      <c r="E383" s="11"/>
      <c r="F383" s="11"/>
    </row>
    <row r="384" customFormat="false" ht="15" hidden="false" customHeight="false" outlineLevel="0" collapsed="false">
      <c r="A384" s="10" t="s">
        <v>1546</v>
      </c>
      <c r="B384" s="10" t="n">
        <v>1</v>
      </c>
      <c r="C384" s="11" t="s">
        <v>1777</v>
      </c>
      <c r="D384" s="10" t="s">
        <v>1949</v>
      </c>
      <c r="E384" s="11"/>
      <c r="F384" s="11"/>
    </row>
    <row r="385" customFormat="false" ht="15" hidden="false" customHeight="false" outlineLevel="0" collapsed="false">
      <c r="A385" s="10" t="s">
        <v>1546</v>
      </c>
      <c r="B385" s="10" t="n">
        <v>2</v>
      </c>
      <c r="C385" s="11" t="s">
        <v>1781</v>
      </c>
      <c r="D385" s="10" t="s">
        <v>1781</v>
      </c>
      <c r="E385" s="11" t="n">
        <v>60</v>
      </c>
      <c r="F385" s="11" t="n">
        <v>120</v>
      </c>
    </row>
    <row r="386" customFormat="false" ht="15" hidden="false" customHeight="false" outlineLevel="0" collapsed="false">
      <c r="A386" s="10" t="s">
        <v>1546</v>
      </c>
      <c r="B386" s="10" t="n">
        <v>3</v>
      </c>
      <c r="C386" s="11" t="s">
        <v>1777</v>
      </c>
      <c r="D386" s="10" t="s">
        <v>1823</v>
      </c>
      <c r="E386" s="11"/>
      <c r="F386" s="11"/>
    </row>
    <row r="387" customFormat="false" ht="23.85" hidden="false" customHeight="false" outlineLevel="0" collapsed="false">
      <c r="A387" s="10" t="s">
        <v>1552</v>
      </c>
      <c r="B387" s="10" t="n">
        <v>1</v>
      </c>
      <c r="C387" s="11" t="s">
        <v>1777</v>
      </c>
      <c r="D387" s="10" t="s">
        <v>1950</v>
      </c>
      <c r="E387" s="11"/>
      <c r="F387" s="11"/>
    </row>
    <row r="388" customFormat="false" ht="15" hidden="false" customHeight="false" outlineLevel="0" collapsed="false">
      <c r="A388" s="10" t="s">
        <v>1552</v>
      </c>
      <c r="B388" s="10" t="n">
        <v>2</v>
      </c>
      <c r="C388" s="11" t="s">
        <v>1777</v>
      </c>
      <c r="D388" s="10" t="s">
        <v>1951</v>
      </c>
      <c r="E388" s="11"/>
      <c r="F388" s="11"/>
    </row>
    <row r="389" customFormat="false" ht="15" hidden="false" customHeight="false" outlineLevel="0" collapsed="false">
      <c r="A389" s="10" t="s">
        <v>1552</v>
      </c>
      <c r="B389" s="10" t="n">
        <v>3</v>
      </c>
      <c r="C389" s="11" t="s">
        <v>1781</v>
      </c>
      <c r="D389" s="10" t="s">
        <v>1781</v>
      </c>
      <c r="E389" s="11" t="n">
        <v>60</v>
      </c>
      <c r="F389" s="11"/>
    </row>
    <row r="390" customFormat="false" ht="15" hidden="false" customHeight="false" outlineLevel="0" collapsed="false">
      <c r="A390" s="10" t="s">
        <v>1552</v>
      </c>
      <c r="B390" s="10" t="n">
        <v>4</v>
      </c>
      <c r="C390" s="11" t="s">
        <v>1777</v>
      </c>
      <c r="D390" s="10" t="s">
        <v>1952</v>
      </c>
      <c r="E390" s="11"/>
      <c r="F390" s="11"/>
    </row>
    <row r="391" customFormat="false" ht="23.85" hidden="false" customHeight="false" outlineLevel="0" collapsed="false">
      <c r="A391" s="10" t="s">
        <v>1560</v>
      </c>
      <c r="B391" s="10" t="n">
        <v>1</v>
      </c>
      <c r="C391" s="11" t="s">
        <v>1777</v>
      </c>
      <c r="D391" s="10" t="s">
        <v>1950</v>
      </c>
      <c r="E391" s="11"/>
      <c r="F391" s="11"/>
    </row>
    <row r="392" customFormat="false" ht="15" hidden="false" customHeight="false" outlineLevel="0" collapsed="false">
      <c r="A392" s="10" t="s">
        <v>1560</v>
      </c>
      <c r="B392" s="10" t="n">
        <v>2</v>
      </c>
      <c r="C392" s="11" t="s">
        <v>1777</v>
      </c>
      <c r="D392" s="10" t="s">
        <v>1951</v>
      </c>
      <c r="E392" s="11"/>
      <c r="F392" s="11"/>
    </row>
    <row r="393" customFormat="false" ht="15" hidden="false" customHeight="false" outlineLevel="0" collapsed="false">
      <c r="A393" s="10" t="s">
        <v>1560</v>
      </c>
      <c r="B393" s="10" t="n">
        <v>3</v>
      </c>
      <c r="C393" s="11" t="s">
        <v>1781</v>
      </c>
      <c r="D393" s="10" t="s">
        <v>1781</v>
      </c>
      <c r="E393" s="11" t="n">
        <v>60</v>
      </c>
      <c r="F393" s="11"/>
    </row>
    <row r="394" customFormat="false" ht="15" hidden="false" customHeight="false" outlineLevel="0" collapsed="false">
      <c r="A394" s="10" t="s">
        <v>1560</v>
      </c>
      <c r="B394" s="10" t="n">
        <v>4</v>
      </c>
      <c r="C394" s="11" t="s">
        <v>1777</v>
      </c>
      <c r="D394" s="10" t="s">
        <v>1952</v>
      </c>
      <c r="E394" s="11"/>
      <c r="F394" s="11"/>
    </row>
    <row r="395" customFormat="false" ht="23.85" hidden="false" customHeight="false" outlineLevel="0" collapsed="false">
      <c r="A395" s="10" t="s">
        <v>1568</v>
      </c>
      <c r="B395" s="10" t="n">
        <v>1</v>
      </c>
      <c r="C395" s="11" t="s">
        <v>1777</v>
      </c>
      <c r="D395" s="10" t="s">
        <v>1950</v>
      </c>
      <c r="E395" s="11"/>
      <c r="F395" s="11"/>
    </row>
    <row r="396" customFormat="false" ht="15" hidden="false" customHeight="false" outlineLevel="0" collapsed="false">
      <c r="A396" s="10" t="s">
        <v>1568</v>
      </c>
      <c r="B396" s="10" t="n">
        <v>2</v>
      </c>
      <c r="C396" s="11" t="s">
        <v>1777</v>
      </c>
      <c r="D396" s="10" t="s">
        <v>1951</v>
      </c>
      <c r="E396" s="11"/>
      <c r="F396" s="11"/>
    </row>
    <row r="397" customFormat="false" ht="15" hidden="false" customHeight="false" outlineLevel="0" collapsed="false">
      <c r="A397" s="10" t="s">
        <v>1568</v>
      </c>
      <c r="B397" s="10" t="n">
        <v>3</v>
      </c>
      <c r="C397" s="11" t="s">
        <v>1781</v>
      </c>
      <c r="D397" s="10" t="s">
        <v>1781</v>
      </c>
      <c r="E397" s="11" t="n">
        <v>60</v>
      </c>
      <c r="F397" s="11"/>
    </row>
    <row r="398" customFormat="false" ht="15" hidden="false" customHeight="false" outlineLevel="0" collapsed="false">
      <c r="A398" s="10" t="s">
        <v>1568</v>
      </c>
      <c r="B398" s="10" t="n">
        <v>4</v>
      </c>
      <c r="C398" s="11" t="s">
        <v>1777</v>
      </c>
      <c r="D398" s="10" t="s">
        <v>1952</v>
      </c>
      <c r="E398" s="11"/>
      <c r="F398" s="11"/>
    </row>
    <row r="399" customFormat="false" ht="15" hidden="false" customHeight="false" outlineLevel="0" collapsed="false">
      <c r="A399" s="10" t="s">
        <v>1576</v>
      </c>
      <c r="B399" s="10" t="n">
        <v>1</v>
      </c>
      <c r="C399" s="11" t="s">
        <v>1777</v>
      </c>
      <c r="D399" s="10" t="s">
        <v>1953</v>
      </c>
      <c r="E399" s="11"/>
      <c r="F399" s="11"/>
    </row>
    <row r="400" customFormat="false" ht="15" hidden="false" customHeight="false" outlineLevel="0" collapsed="false">
      <c r="A400" s="10" t="s">
        <v>1576</v>
      </c>
      <c r="B400" s="10" t="n">
        <v>2</v>
      </c>
      <c r="C400" s="11" t="s">
        <v>1775</v>
      </c>
      <c r="D400" s="10" t="s">
        <v>1954</v>
      </c>
      <c r="E400" s="11" t="n">
        <v>240</v>
      </c>
      <c r="F400" s="11" t="n">
        <v>300</v>
      </c>
    </row>
    <row r="401" customFormat="false" ht="15" hidden="false" customHeight="false" outlineLevel="0" collapsed="false">
      <c r="A401" s="10" t="s">
        <v>1576</v>
      </c>
      <c r="B401" s="10" t="n">
        <v>3</v>
      </c>
      <c r="C401" s="11" t="s">
        <v>1777</v>
      </c>
      <c r="D401" s="10" t="s">
        <v>1955</v>
      </c>
      <c r="E401" s="11"/>
      <c r="F401" s="11"/>
    </row>
    <row r="402" customFormat="false" ht="15" hidden="false" customHeight="false" outlineLevel="0" collapsed="false">
      <c r="A402" s="10" t="s">
        <v>1576</v>
      </c>
      <c r="B402" s="10" t="n">
        <v>4</v>
      </c>
      <c r="C402" s="11" t="s">
        <v>1781</v>
      </c>
      <c r="D402" s="10" t="s">
        <v>1956</v>
      </c>
      <c r="E402" s="11" t="n">
        <v>60</v>
      </c>
      <c r="F402" s="11" t="n">
        <v>120</v>
      </c>
    </row>
    <row r="403" customFormat="false" ht="15" hidden="false" customHeight="false" outlineLevel="0" collapsed="false">
      <c r="A403" s="10" t="s">
        <v>1576</v>
      </c>
      <c r="B403" s="10" t="n">
        <v>5</v>
      </c>
      <c r="C403" s="11" t="s">
        <v>1777</v>
      </c>
      <c r="D403" s="10" t="s">
        <v>1957</v>
      </c>
      <c r="E403" s="11"/>
      <c r="F403" s="11"/>
    </row>
    <row r="404" customFormat="false" ht="15" hidden="false" customHeight="false" outlineLevel="0" collapsed="false">
      <c r="A404" s="10" t="s">
        <v>1586</v>
      </c>
      <c r="B404" s="10" t="n">
        <v>1</v>
      </c>
      <c r="C404" s="11" t="s">
        <v>1777</v>
      </c>
      <c r="D404" s="10" t="s">
        <v>1958</v>
      </c>
      <c r="E404" s="11"/>
      <c r="F404" s="11"/>
    </row>
    <row r="405" customFormat="false" ht="15" hidden="false" customHeight="false" outlineLevel="0" collapsed="false">
      <c r="A405" s="10" t="s">
        <v>1586</v>
      </c>
      <c r="B405" s="10" t="n">
        <v>2</v>
      </c>
      <c r="C405" s="11" t="s">
        <v>1775</v>
      </c>
      <c r="D405" s="10" t="s">
        <v>1959</v>
      </c>
      <c r="E405" s="11" t="n">
        <v>50</v>
      </c>
      <c r="F405" s="11"/>
    </row>
    <row r="406" customFormat="false" ht="15" hidden="false" customHeight="false" outlineLevel="0" collapsed="false">
      <c r="A406" s="10" t="s">
        <v>1586</v>
      </c>
      <c r="B406" s="10" t="n">
        <v>3</v>
      </c>
      <c r="C406" s="11" t="s">
        <v>1781</v>
      </c>
      <c r="D406" s="10" t="s">
        <v>1956</v>
      </c>
      <c r="E406" s="11" t="n">
        <v>120</v>
      </c>
      <c r="F406" s="11" t="n">
        <v>180</v>
      </c>
    </row>
    <row r="407" customFormat="false" ht="15" hidden="false" customHeight="false" outlineLevel="0" collapsed="false">
      <c r="A407" s="10" t="s">
        <v>1594</v>
      </c>
      <c r="B407" s="10" t="n">
        <v>1</v>
      </c>
      <c r="C407" s="11" t="s">
        <v>1777</v>
      </c>
      <c r="D407" s="10" t="s">
        <v>1960</v>
      </c>
      <c r="E407" s="11"/>
      <c r="F407" s="11"/>
    </row>
    <row r="408" customFormat="false" ht="15" hidden="false" customHeight="false" outlineLevel="0" collapsed="false">
      <c r="A408" s="10" t="s">
        <v>1594</v>
      </c>
      <c r="B408" s="10" t="n">
        <v>2</v>
      </c>
      <c r="C408" s="11" t="s">
        <v>1775</v>
      </c>
      <c r="D408" s="10" t="s">
        <v>1877</v>
      </c>
      <c r="E408" s="11" t="n">
        <v>120</v>
      </c>
      <c r="F408" s="11"/>
    </row>
    <row r="409" customFormat="false" ht="15" hidden="false" customHeight="false" outlineLevel="0" collapsed="false">
      <c r="A409" s="10" t="s">
        <v>1594</v>
      </c>
      <c r="B409" s="10" t="n">
        <v>3</v>
      </c>
      <c r="C409" s="11" t="s">
        <v>1777</v>
      </c>
      <c r="D409" s="10" t="s">
        <v>1961</v>
      </c>
      <c r="E409" s="11"/>
      <c r="F409" s="11"/>
    </row>
    <row r="410" customFormat="false" ht="15" hidden="false" customHeight="false" outlineLevel="0" collapsed="false">
      <c r="A410" s="10" t="s">
        <v>1594</v>
      </c>
      <c r="B410" s="10" t="n">
        <v>4</v>
      </c>
      <c r="C410" s="11" t="s">
        <v>1781</v>
      </c>
      <c r="D410" s="10" t="s">
        <v>1956</v>
      </c>
      <c r="E410" s="11" t="n">
        <v>120</v>
      </c>
      <c r="F410" s="11"/>
    </row>
    <row r="411" customFormat="false" ht="15" hidden="false" customHeight="false" outlineLevel="0" collapsed="false">
      <c r="A411" s="10" t="s">
        <v>1594</v>
      </c>
      <c r="B411" s="10" t="n">
        <v>5</v>
      </c>
      <c r="C411" s="11" t="s">
        <v>1777</v>
      </c>
      <c r="D411" s="10" t="s">
        <v>1962</v>
      </c>
      <c r="E411" s="11"/>
      <c r="F411" s="11"/>
    </row>
    <row r="412" customFormat="false" ht="15" hidden="false" customHeight="false" outlineLevel="0" collapsed="false">
      <c r="A412" s="10" t="s">
        <v>1618</v>
      </c>
      <c r="B412" s="10" t="n">
        <v>1</v>
      </c>
      <c r="C412" s="11" t="s">
        <v>1777</v>
      </c>
      <c r="D412" s="10" t="s">
        <v>1963</v>
      </c>
      <c r="E412" s="11"/>
      <c r="F412" s="11"/>
    </row>
    <row r="413" customFormat="false" ht="15" hidden="false" customHeight="false" outlineLevel="0" collapsed="false">
      <c r="A413" s="10" t="s">
        <v>1618</v>
      </c>
      <c r="B413" s="10" t="n">
        <v>2</v>
      </c>
      <c r="C413" s="11" t="s">
        <v>1775</v>
      </c>
      <c r="D413" s="10" t="s">
        <v>1964</v>
      </c>
      <c r="E413" s="11" t="n">
        <v>600</v>
      </c>
      <c r="F413" s="11" t="n">
        <v>720</v>
      </c>
    </row>
    <row r="414" customFormat="false" ht="15" hidden="false" customHeight="false" outlineLevel="0" collapsed="false">
      <c r="A414" s="10" t="s">
        <v>1618</v>
      </c>
      <c r="B414" s="10" t="n">
        <v>3</v>
      </c>
      <c r="C414" s="11" t="s">
        <v>1781</v>
      </c>
      <c r="D414" s="10" t="s">
        <v>1956</v>
      </c>
      <c r="E414" s="11" t="n">
        <v>60</v>
      </c>
      <c r="F414" s="11"/>
    </row>
    <row r="415" customFormat="false" ht="15" hidden="false" customHeight="false" outlineLevel="0" collapsed="false">
      <c r="A415" s="10" t="s">
        <v>1618</v>
      </c>
      <c r="B415" s="10" t="n">
        <v>4</v>
      </c>
      <c r="C415" s="11" t="s">
        <v>1777</v>
      </c>
      <c r="D415" s="10" t="s">
        <v>1965</v>
      </c>
      <c r="E415" s="11"/>
      <c r="F415" s="11"/>
    </row>
    <row r="416" customFormat="false" ht="23.85" hidden="false" customHeight="false" outlineLevel="0" collapsed="false">
      <c r="A416" s="10" t="s">
        <v>1626</v>
      </c>
      <c r="B416" s="10" t="n">
        <v>1</v>
      </c>
      <c r="C416" s="11" t="s">
        <v>1777</v>
      </c>
      <c r="D416" s="10" t="s">
        <v>1966</v>
      </c>
      <c r="E416" s="11"/>
      <c r="F416" s="11"/>
    </row>
    <row r="417" customFormat="false" ht="15" hidden="false" customHeight="false" outlineLevel="0" collapsed="false">
      <c r="A417" s="10" t="s">
        <v>1626</v>
      </c>
      <c r="B417" s="10" t="n">
        <v>2</v>
      </c>
      <c r="C417" s="11" t="s">
        <v>1775</v>
      </c>
      <c r="D417" s="10" t="s">
        <v>1967</v>
      </c>
      <c r="E417" s="11" t="n">
        <v>120</v>
      </c>
      <c r="F417" s="11" t="n">
        <v>150</v>
      </c>
    </row>
    <row r="418" customFormat="false" ht="15" hidden="false" customHeight="false" outlineLevel="0" collapsed="false">
      <c r="A418" s="10" t="s">
        <v>1626</v>
      </c>
      <c r="B418" s="10" t="n">
        <v>3</v>
      </c>
      <c r="C418" s="11" t="s">
        <v>1777</v>
      </c>
      <c r="D418" s="10" t="s">
        <v>1968</v>
      </c>
      <c r="E418" s="11"/>
      <c r="F418" s="11"/>
    </row>
    <row r="419" customFormat="false" ht="15" hidden="false" customHeight="false" outlineLevel="0" collapsed="false">
      <c r="A419" s="10" t="s">
        <v>1635</v>
      </c>
      <c r="B419" s="10" t="n">
        <v>1</v>
      </c>
      <c r="C419" s="11" t="s">
        <v>1777</v>
      </c>
      <c r="D419" s="10" t="s">
        <v>1969</v>
      </c>
      <c r="E419" s="11"/>
      <c r="F419" s="11"/>
    </row>
    <row r="420" customFormat="false" ht="15" hidden="false" customHeight="false" outlineLevel="0" collapsed="false">
      <c r="A420" s="10" t="s">
        <v>1635</v>
      </c>
      <c r="B420" s="10" t="n">
        <v>2</v>
      </c>
      <c r="C420" s="11" t="s">
        <v>1775</v>
      </c>
      <c r="D420" s="10" t="s">
        <v>1964</v>
      </c>
      <c r="E420" s="11" t="n">
        <v>120</v>
      </c>
      <c r="F420" s="11"/>
    </row>
    <row r="421" customFormat="false" ht="15" hidden="false" customHeight="false" outlineLevel="0" collapsed="false">
      <c r="A421" s="10" t="s">
        <v>1635</v>
      </c>
      <c r="B421" s="10" t="n">
        <v>3</v>
      </c>
      <c r="C421" s="11" t="s">
        <v>1777</v>
      </c>
      <c r="D421" s="10" t="s">
        <v>1970</v>
      </c>
      <c r="E421" s="11"/>
      <c r="F421" s="11"/>
    </row>
    <row r="422" customFormat="false" ht="15" hidden="false" customHeight="false" outlineLevel="0" collapsed="false">
      <c r="A422" s="10" t="s">
        <v>1635</v>
      </c>
      <c r="B422" s="10" t="n">
        <v>4</v>
      </c>
      <c r="C422" s="11" t="s">
        <v>1775</v>
      </c>
      <c r="D422" s="10" t="s">
        <v>1964</v>
      </c>
      <c r="E422" s="11" t="n">
        <v>120</v>
      </c>
      <c r="F422" s="11" t="n">
        <v>180</v>
      </c>
    </row>
    <row r="423" customFormat="false" ht="15" hidden="false" customHeight="false" outlineLevel="0" collapsed="false">
      <c r="A423" s="10" t="s">
        <v>1635</v>
      </c>
      <c r="B423" s="10" t="n">
        <v>5</v>
      </c>
      <c r="C423" s="11" t="s">
        <v>1781</v>
      </c>
      <c r="D423" s="10" t="s">
        <v>1956</v>
      </c>
      <c r="E423" s="11" t="n">
        <v>60</v>
      </c>
      <c r="F423" s="11"/>
    </row>
    <row r="424" customFormat="false" ht="15" hidden="false" customHeight="false" outlineLevel="0" collapsed="false">
      <c r="A424" s="10" t="s">
        <v>1641</v>
      </c>
      <c r="B424" s="10" t="n">
        <v>1</v>
      </c>
      <c r="C424" s="11" t="s">
        <v>1777</v>
      </c>
      <c r="D424" s="10" t="s">
        <v>1971</v>
      </c>
      <c r="E424" s="11"/>
      <c r="F424" s="11"/>
    </row>
    <row r="425" customFormat="false" ht="15" hidden="false" customHeight="false" outlineLevel="0" collapsed="false">
      <c r="A425" s="10" t="s">
        <v>1641</v>
      </c>
      <c r="B425" s="10" t="n">
        <v>2</v>
      </c>
      <c r="C425" s="11" t="s">
        <v>1775</v>
      </c>
      <c r="D425" s="10" t="s">
        <v>1964</v>
      </c>
      <c r="E425" s="11" t="n">
        <v>150</v>
      </c>
      <c r="F425" s="11"/>
    </row>
    <row r="426" customFormat="false" ht="15" hidden="false" customHeight="false" outlineLevel="0" collapsed="false">
      <c r="A426" s="10" t="s">
        <v>1641</v>
      </c>
      <c r="B426" s="10" t="n">
        <v>3</v>
      </c>
      <c r="C426" s="11" t="s">
        <v>1777</v>
      </c>
      <c r="D426" s="10" t="s">
        <v>1970</v>
      </c>
      <c r="E426" s="11"/>
      <c r="F426" s="11"/>
    </row>
    <row r="427" customFormat="false" ht="15" hidden="false" customHeight="false" outlineLevel="0" collapsed="false">
      <c r="A427" s="10" t="s">
        <v>1641</v>
      </c>
      <c r="B427" s="10" t="n">
        <v>4</v>
      </c>
      <c r="C427" s="11" t="s">
        <v>1775</v>
      </c>
      <c r="D427" s="10" t="s">
        <v>1964</v>
      </c>
      <c r="E427" s="11" t="n">
        <v>150</v>
      </c>
      <c r="F427" s="11"/>
    </row>
    <row r="428" customFormat="false" ht="15" hidden="false" customHeight="false" outlineLevel="0" collapsed="false">
      <c r="A428" s="10" t="s">
        <v>1641</v>
      </c>
      <c r="B428" s="10" t="n">
        <v>5</v>
      </c>
      <c r="C428" s="11" t="s">
        <v>1777</v>
      </c>
      <c r="D428" s="10" t="s">
        <v>1972</v>
      </c>
      <c r="E428" s="11"/>
      <c r="F428" s="11"/>
    </row>
    <row r="429" customFormat="false" ht="15" hidden="false" customHeight="false" outlineLevel="0" collapsed="false">
      <c r="A429" s="10" t="s">
        <v>1647</v>
      </c>
      <c r="B429" s="10" t="n">
        <v>1</v>
      </c>
      <c r="C429" s="11" t="s">
        <v>1777</v>
      </c>
      <c r="D429" s="10" t="s">
        <v>1865</v>
      </c>
      <c r="E429" s="11"/>
      <c r="F429" s="11"/>
    </row>
    <row r="430" customFormat="false" ht="15" hidden="false" customHeight="false" outlineLevel="0" collapsed="false">
      <c r="A430" s="10" t="s">
        <v>1647</v>
      </c>
      <c r="B430" s="10" t="n">
        <v>2</v>
      </c>
      <c r="C430" s="11" t="s">
        <v>1775</v>
      </c>
      <c r="D430" s="10" t="s">
        <v>1973</v>
      </c>
      <c r="E430" s="11" t="n">
        <v>120</v>
      </c>
      <c r="F430" s="11" t="n">
        <v>150</v>
      </c>
    </row>
    <row r="431" customFormat="false" ht="15" hidden="false" customHeight="false" outlineLevel="0" collapsed="false">
      <c r="A431" s="10" t="s">
        <v>1647</v>
      </c>
      <c r="B431" s="10" t="n">
        <v>3</v>
      </c>
      <c r="C431" s="11" t="s">
        <v>1781</v>
      </c>
      <c r="D431" s="10" t="s">
        <v>1956</v>
      </c>
      <c r="E431" s="11" t="n">
        <v>60</v>
      </c>
      <c r="F431" s="11"/>
    </row>
    <row r="432" customFormat="false" ht="15" hidden="false" customHeight="false" outlineLevel="0" collapsed="false">
      <c r="A432" s="10" t="s">
        <v>1647</v>
      </c>
      <c r="B432" s="10" t="n">
        <v>4</v>
      </c>
      <c r="C432" s="11" t="s">
        <v>1777</v>
      </c>
      <c r="D432" s="10" t="s">
        <v>1974</v>
      </c>
      <c r="E432" s="11"/>
      <c r="F432" s="11"/>
    </row>
    <row r="433" customFormat="false" ht="15" hidden="false" customHeight="false" outlineLevel="0" collapsed="false">
      <c r="A433" s="10" t="s">
        <v>1654</v>
      </c>
      <c r="B433" s="10" t="n">
        <v>1</v>
      </c>
      <c r="C433" s="11" t="s">
        <v>1777</v>
      </c>
      <c r="D433" s="10" t="s">
        <v>1975</v>
      </c>
      <c r="E433" s="11"/>
      <c r="F433" s="11"/>
    </row>
    <row r="434" customFormat="false" ht="15" hidden="false" customHeight="false" outlineLevel="0" collapsed="false">
      <c r="A434" s="10" t="s">
        <v>1654</v>
      </c>
      <c r="B434" s="10" t="n">
        <v>2</v>
      </c>
      <c r="C434" s="11" t="s">
        <v>1775</v>
      </c>
      <c r="D434" s="10" t="s">
        <v>1959</v>
      </c>
      <c r="E434" s="11" t="n">
        <v>90</v>
      </c>
      <c r="F434" s="11" t="n">
        <v>120</v>
      </c>
    </row>
    <row r="435" customFormat="false" ht="15" hidden="false" customHeight="false" outlineLevel="0" collapsed="false">
      <c r="A435" s="10" t="s">
        <v>1654</v>
      </c>
      <c r="B435" s="10" t="n">
        <v>3</v>
      </c>
      <c r="C435" s="11" t="s">
        <v>1777</v>
      </c>
      <c r="D435" s="10" t="s">
        <v>1976</v>
      </c>
      <c r="E435" s="11"/>
      <c r="F435" s="11"/>
    </row>
    <row r="436" customFormat="false" ht="15" hidden="false" customHeight="false" outlineLevel="0" collapsed="false">
      <c r="A436" s="10" t="s">
        <v>1659</v>
      </c>
      <c r="B436" s="10" t="n">
        <v>1</v>
      </c>
      <c r="C436" s="11" t="s">
        <v>1777</v>
      </c>
      <c r="D436" s="10" t="s">
        <v>1977</v>
      </c>
      <c r="E436" s="11"/>
      <c r="F436" s="11"/>
    </row>
    <row r="437" customFormat="false" ht="15" hidden="false" customHeight="false" outlineLevel="0" collapsed="false">
      <c r="A437" s="10" t="s">
        <v>1659</v>
      </c>
      <c r="B437" s="10" t="n">
        <v>2</v>
      </c>
      <c r="C437" s="11" t="s">
        <v>1775</v>
      </c>
      <c r="D437" s="10" t="s">
        <v>1914</v>
      </c>
      <c r="E437" s="11" t="n">
        <v>120</v>
      </c>
      <c r="F437" s="11" t="n">
        <v>180</v>
      </c>
    </row>
    <row r="438" customFormat="false" ht="15" hidden="false" customHeight="false" outlineLevel="0" collapsed="false">
      <c r="A438" s="10" t="s">
        <v>1659</v>
      </c>
      <c r="B438" s="10" t="n">
        <v>3</v>
      </c>
      <c r="C438" s="11" t="s">
        <v>1781</v>
      </c>
      <c r="D438" s="10" t="s">
        <v>1978</v>
      </c>
      <c r="E438" s="11" t="n">
        <v>60</v>
      </c>
      <c r="F438" s="11"/>
    </row>
    <row r="439" customFormat="false" ht="15" hidden="false" customHeight="false" outlineLevel="0" collapsed="false">
      <c r="A439" s="10" t="s">
        <v>1667</v>
      </c>
      <c r="B439" s="10" t="n">
        <v>1</v>
      </c>
      <c r="C439" s="11" t="s">
        <v>1777</v>
      </c>
      <c r="D439" s="10" t="s">
        <v>1979</v>
      </c>
      <c r="E439" s="11"/>
      <c r="F439" s="11"/>
    </row>
    <row r="440" customFormat="false" ht="15" hidden="false" customHeight="false" outlineLevel="0" collapsed="false">
      <c r="A440" s="10" t="s">
        <v>1667</v>
      </c>
      <c r="B440" s="10" t="n">
        <v>2</v>
      </c>
      <c r="C440" s="11" t="s">
        <v>1775</v>
      </c>
      <c r="D440" s="10" t="s">
        <v>1959</v>
      </c>
      <c r="E440" s="11" t="n">
        <v>300</v>
      </c>
      <c r="F440" s="11"/>
    </row>
    <row r="441" customFormat="false" ht="15" hidden="false" customHeight="false" outlineLevel="0" collapsed="false">
      <c r="A441" s="10" t="s">
        <v>1667</v>
      </c>
      <c r="B441" s="10" t="n">
        <v>3</v>
      </c>
      <c r="C441" s="11" t="s">
        <v>1777</v>
      </c>
      <c r="D441" s="10" t="s">
        <v>1980</v>
      </c>
      <c r="E441" s="11"/>
      <c r="F441" s="11"/>
    </row>
    <row r="442" customFormat="false" ht="15" hidden="false" customHeight="false" outlineLevel="0" collapsed="false">
      <c r="A442" s="10" t="s">
        <v>1667</v>
      </c>
      <c r="B442" s="10" t="n">
        <v>4</v>
      </c>
      <c r="C442" s="11" t="s">
        <v>1781</v>
      </c>
      <c r="D442" s="10" t="s">
        <v>1956</v>
      </c>
      <c r="E442" s="11" t="n">
        <v>120</v>
      </c>
      <c r="F442" s="11"/>
    </row>
    <row r="443" customFormat="false" ht="15" hidden="false" customHeight="false" outlineLevel="0" collapsed="false">
      <c r="A443" s="10" t="s">
        <v>1675</v>
      </c>
      <c r="B443" s="10" t="n">
        <v>1</v>
      </c>
      <c r="C443" s="11" t="s">
        <v>1777</v>
      </c>
      <c r="D443" s="10" t="s">
        <v>1975</v>
      </c>
      <c r="E443" s="11"/>
      <c r="F443" s="11"/>
    </row>
    <row r="444" customFormat="false" ht="15" hidden="false" customHeight="false" outlineLevel="0" collapsed="false">
      <c r="A444" s="10" t="s">
        <v>1675</v>
      </c>
      <c r="B444" s="10" t="n">
        <v>2</v>
      </c>
      <c r="C444" s="11" t="s">
        <v>1775</v>
      </c>
      <c r="D444" s="10" t="s">
        <v>1877</v>
      </c>
      <c r="E444" s="11" t="n">
        <v>180</v>
      </c>
      <c r="F444" s="11"/>
    </row>
    <row r="445" customFormat="false" ht="15" hidden="false" customHeight="false" outlineLevel="0" collapsed="false">
      <c r="A445" s="10" t="s">
        <v>1675</v>
      </c>
      <c r="B445" s="10" t="n">
        <v>3</v>
      </c>
      <c r="C445" s="11" t="s">
        <v>1777</v>
      </c>
      <c r="D445" s="10" t="s">
        <v>1970</v>
      </c>
      <c r="E445" s="11"/>
      <c r="F445" s="11"/>
    </row>
    <row r="446" customFormat="false" ht="15" hidden="false" customHeight="false" outlineLevel="0" collapsed="false">
      <c r="A446" s="10" t="s">
        <v>1675</v>
      </c>
      <c r="B446" s="10" t="n">
        <v>4</v>
      </c>
      <c r="C446" s="11" t="s">
        <v>1775</v>
      </c>
      <c r="D446" s="10" t="s">
        <v>1981</v>
      </c>
      <c r="E446" s="11" t="n">
        <v>60</v>
      </c>
      <c r="F446" s="11"/>
    </row>
    <row r="447" customFormat="false" ht="15" hidden="false" customHeight="false" outlineLevel="0" collapsed="false">
      <c r="A447" s="10" t="s">
        <v>1675</v>
      </c>
      <c r="B447" s="10" t="n">
        <v>5</v>
      </c>
      <c r="C447" s="11" t="s">
        <v>1781</v>
      </c>
      <c r="D447" s="10" t="s">
        <v>1956</v>
      </c>
      <c r="E447" s="11" t="n">
        <v>60</v>
      </c>
      <c r="F447" s="11"/>
    </row>
    <row r="448" customFormat="false" ht="15" hidden="false" customHeight="false" outlineLevel="0" collapsed="false">
      <c r="A448" s="10" t="s">
        <v>1682</v>
      </c>
      <c r="B448" s="10" t="n">
        <v>1</v>
      </c>
      <c r="C448" s="11" t="s">
        <v>1777</v>
      </c>
      <c r="D448" s="10" t="s">
        <v>1982</v>
      </c>
      <c r="E448" s="11"/>
      <c r="F448" s="11"/>
    </row>
    <row r="449" customFormat="false" ht="15" hidden="false" customHeight="false" outlineLevel="0" collapsed="false">
      <c r="A449" s="10" t="s">
        <v>1682</v>
      </c>
      <c r="B449" s="10" t="n">
        <v>2</v>
      </c>
      <c r="C449" s="11" t="s">
        <v>1775</v>
      </c>
      <c r="D449" s="10" t="s">
        <v>1877</v>
      </c>
      <c r="E449" s="11" t="n">
        <v>120</v>
      </c>
      <c r="F449" s="11"/>
    </row>
    <row r="450" customFormat="false" ht="15" hidden="false" customHeight="false" outlineLevel="0" collapsed="false">
      <c r="A450" s="10" t="s">
        <v>1682</v>
      </c>
      <c r="B450" s="10" t="n">
        <v>3</v>
      </c>
      <c r="C450" s="11" t="s">
        <v>1777</v>
      </c>
      <c r="D450" s="10" t="s">
        <v>1983</v>
      </c>
      <c r="E450" s="11"/>
      <c r="F450" s="11"/>
    </row>
    <row r="451" customFormat="false" ht="15" hidden="false" customHeight="false" outlineLevel="0" collapsed="false">
      <c r="A451" s="10" t="s">
        <v>1682</v>
      </c>
      <c r="B451" s="10" t="n">
        <v>4</v>
      </c>
      <c r="C451" s="11" t="s">
        <v>1775</v>
      </c>
      <c r="D451" s="10" t="s">
        <v>1797</v>
      </c>
      <c r="E451" s="11" t="n">
        <v>90</v>
      </c>
      <c r="F451" s="11" t="n">
        <v>150</v>
      </c>
    </row>
    <row r="452" customFormat="false" ht="15" hidden="false" customHeight="false" outlineLevel="0" collapsed="false">
      <c r="A452" s="10" t="s">
        <v>1689</v>
      </c>
      <c r="B452" s="10" t="n">
        <v>1</v>
      </c>
      <c r="C452" s="11" t="s">
        <v>1777</v>
      </c>
      <c r="D452" s="10" t="s">
        <v>1984</v>
      </c>
      <c r="E452" s="11"/>
      <c r="F452" s="11"/>
    </row>
    <row r="453" customFormat="false" ht="15" hidden="false" customHeight="false" outlineLevel="0" collapsed="false">
      <c r="A453" s="10" t="s">
        <v>1689</v>
      </c>
      <c r="B453" s="10" t="n">
        <v>2</v>
      </c>
      <c r="C453" s="11" t="s">
        <v>1775</v>
      </c>
      <c r="D453" s="10" t="s">
        <v>1877</v>
      </c>
      <c r="E453" s="11" t="n">
        <v>90</v>
      </c>
      <c r="F453" s="11" t="n">
        <v>120</v>
      </c>
    </row>
    <row r="454" customFormat="false" ht="15" hidden="false" customHeight="false" outlineLevel="0" collapsed="false">
      <c r="A454" s="10" t="s">
        <v>1704</v>
      </c>
      <c r="B454" s="10" t="n">
        <v>1</v>
      </c>
      <c r="C454" s="11" t="s">
        <v>1777</v>
      </c>
      <c r="D454" s="10" t="s">
        <v>1985</v>
      </c>
      <c r="E454" s="11"/>
      <c r="F454" s="11"/>
    </row>
    <row r="455" customFormat="false" ht="15" hidden="false" customHeight="false" outlineLevel="0" collapsed="false">
      <c r="A455" s="10" t="s">
        <v>1704</v>
      </c>
      <c r="B455" s="10" t="n">
        <v>2</v>
      </c>
      <c r="C455" s="11" t="s">
        <v>1775</v>
      </c>
      <c r="D455" s="10" t="s">
        <v>1964</v>
      </c>
      <c r="E455" s="11" t="n">
        <v>180</v>
      </c>
      <c r="F455" s="11" t="n">
        <v>300</v>
      </c>
    </row>
    <row r="456" customFormat="false" ht="15" hidden="false" customHeight="false" outlineLevel="0" collapsed="false">
      <c r="A456" s="10" t="s">
        <v>1704</v>
      </c>
      <c r="B456" s="10" t="n">
        <v>3</v>
      </c>
      <c r="C456" s="11" t="s">
        <v>1781</v>
      </c>
      <c r="D456" s="10" t="s">
        <v>1956</v>
      </c>
      <c r="E456" s="11" t="n">
        <v>120</v>
      </c>
      <c r="F456" s="11"/>
    </row>
    <row r="457" customFormat="false" ht="15" hidden="false" customHeight="false" outlineLevel="0" collapsed="false">
      <c r="A457" s="10" t="s">
        <v>1704</v>
      </c>
      <c r="B457" s="10" t="n">
        <v>4</v>
      </c>
      <c r="C457" s="11" t="s">
        <v>1777</v>
      </c>
      <c r="D457" s="10" t="s">
        <v>1986</v>
      </c>
      <c r="E457" s="11"/>
      <c r="F457" s="11"/>
    </row>
    <row r="458" customFormat="false" ht="15" hidden="false" customHeight="false" outlineLevel="0" collapsed="false">
      <c r="A458" s="10" t="s">
        <v>1712</v>
      </c>
      <c r="B458" s="10" t="n">
        <v>1</v>
      </c>
      <c r="C458" s="11" t="s">
        <v>1777</v>
      </c>
      <c r="D458" s="10" t="s">
        <v>1987</v>
      </c>
      <c r="E458" s="11"/>
      <c r="F458" s="11"/>
    </row>
    <row r="459" customFormat="false" ht="15" hidden="false" customHeight="false" outlineLevel="0" collapsed="false">
      <c r="A459" s="10" t="s">
        <v>1712</v>
      </c>
      <c r="B459" s="10" t="n">
        <v>2</v>
      </c>
      <c r="C459" s="11" t="s">
        <v>1775</v>
      </c>
      <c r="D459" s="10" t="s">
        <v>1959</v>
      </c>
      <c r="E459" s="11" t="n">
        <v>30</v>
      </c>
      <c r="F459" s="11" t="n">
        <v>60</v>
      </c>
    </row>
    <row r="460" customFormat="false" ht="15" hidden="false" customHeight="false" outlineLevel="0" collapsed="false">
      <c r="A460" s="10" t="s">
        <v>1712</v>
      </c>
      <c r="B460" s="10" t="n">
        <v>3</v>
      </c>
      <c r="C460" s="11" t="s">
        <v>1777</v>
      </c>
      <c r="D460" s="10" t="s">
        <v>1988</v>
      </c>
      <c r="E460" s="11"/>
      <c r="F460" s="11"/>
    </row>
    <row r="461" customFormat="false" ht="15" hidden="false" customHeight="false" outlineLevel="0" collapsed="false">
      <c r="A461" s="10" t="s">
        <v>1743</v>
      </c>
      <c r="B461" s="10" t="n">
        <v>1</v>
      </c>
      <c r="C461" s="11" t="s">
        <v>1777</v>
      </c>
      <c r="D461" s="10" t="s">
        <v>1987</v>
      </c>
      <c r="E461" s="11"/>
      <c r="F461" s="11"/>
    </row>
    <row r="462" customFormat="false" ht="15" hidden="false" customHeight="false" outlineLevel="0" collapsed="false">
      <c r="A462" s="10" t="s">
        <v>1743</v>
      </c>
      <c r="B462" s="10" t="n">
        <v>2</v>
      </c>
      <c r="C462" s="11" t="s">
        <v>1777</v>
      </c>
      <c r="D462" s="10" t="s">
        <v>1989</v>
      </c>
      <c r="E462" s="11"/>
      <c r="F462" s="11"/>
    </row>
    <row r="463" customFormat="false" ht="15" hidden="false" customHeight="false" outlineLevel="0" collapsed="false">
      <c r="A463" s="10" t="s">
        <v>1743</v>
      </c>
      <c r="B463" s="10" t="n">
        <v>3</v>
      </c>
      <c r="C463" s="11" t="s">
        <v>1775</v>
      </c>
      <c r="D463" s="10" t="s">
        <v>1990</v>
      </c>
      <c r="E463" s="11" t="n">
        <v>180</v>
      </c>
      <c r="F463" s="11" t="n">
        <v>210</v>
      </c>
    </row>
    <row r="464" customFormat="false" ht="15" hidden="false" customHeight="false" outlineLevel="0" collapsed="false">
      <c r="A464" s="10" t="s">
        <v>1743</v>
      </c>
      <c r="B464" s="10" t="n">
        <v>4</v>
      </c>
      <c r="C464" s="11" t="s">
        <v>1777</v>
      </c>
      <c r="D464" s="10" t="s">
        <v>1991</v>
      </c>
      <c r="E464" s="11"/>
      <c r="F464" s="11"/>
    </row>
    <row r="465" customFormat="false" ht="15" hidden="false" customHeight="false" outlineLevel="0" collapsed="false">
      <c r="A465" s="10" t="s">
        <v>1743</v>
      </c>
      <c r="B465" s="10" t="n">
        <v>5</v>
      </c>
      <c r="C465" s="11" t="s">
        <v>1781</v>
      </c>
      <c r="D465" s="10" t="s">
        <v>1992</v>
      </c>
      <c r="E465" s="11" t="n">
        <v>60</v>
      </c>
      <c r="F465" s="11"/>
    </row>
    <row r="466" customFormat="false" ht="15" hidden="false" customHeight="false" outlineLevel="0" collapsed="false">
      <c r="A466" s="10" t="s">
        <v>1751</v>
      </c>
      <c r="B466" s="10" t="n">
        <v>1</v>
      </c>
      <c r="C466" s="11" t="s">
        <v>1777</v>
      </c>
      <c r="D466" s="10" t="s">
        <v>1987</v>
      </c>
      <c r="E466" s="11"/>
      <c r="F466" s="11"/>
    </row>
    <row r="467" customFormat="false" ht="15" hidden="false" customHeight="false" outlineLevel="0" collapsed="false">
      <c r="A467" s="10" t="s">
        <v>1751</v>
      </c>
      <c r="B467" s="10" t="n">
        <v>2</v>
      </c>
      <c r="C467" s="11" t="s">
        <v>1777</v>
      </c>
      <c r="D467" s="10" t="s">
        <v>1989</v>
      </c>
      <c r="E467" s="11"/>
      <c r="F467" s="11"/>
    </row>
    <row r="468" customFormat="false" ht="15" hidden="false" customHeight="false" outlineLevel="0" collapsed="false">
      <c r="A468" s="10" t="s">
        <v>1751</v>
      </c>
      <c r="B468" s="10" t="n">
        <v>3</v>
      </c>
      <c r="C468" s="11" t="s">
        <v>1775</v>
      </c>
      <c r="D468" s="10" t="s">
        <v>1990</v>
      </c>
      <c r="E468" s="11" t="n">
        <v>180</v>
      </c>
      <c r="F468" s="11" t="n">
        <v>210</v>
      </c>
    </row>
    <row r="469" customFormat="false" ht="15" hidden="false" customHeight="false" outlineLevel="0" collapsed="false">
      <c r="A469" s="10" t="s">
        <v>1751</v>
      </c>
      <c r="B469" s="10" t="n">
        <v>4</v>
      </c>
      <c r="C469" s="11" t="s">
        <v>1777</v>
      </c>
      <c r="D469" s="10" t="s">
        <v>1991</v>
      </c>
      <c r="E469" s="11"/>
      <c r="F469" s="11"/>
    </row>
    <row r="470" customFormat="false" ht="15" hidden="false" customHeight="false" outlineLevel="0" collapsed="false">
      <c r="A470" s="10" t="s">
        <v>1751</v>
      </c>
      <c r="B470" s="10" t="n">
        <v>5</v>
      </c>
      <c r="C470" s="11" t="s">
        <v>1781</v>
      </c>
      <c r="D470" s="10" t="s">
        <v>1992</v>
      </c>
      <c r="E470" s="11" t="n">
        <v>60</v>
      </c>
      <c r="F470" s="11"/>
    </row>
    <row r="471" customFormat="false" ht="15" hidden="false" customHeight="false" outlineLevel="0" collapsed="false">
      <c r="A471" s="10" t="s">
        <v>1755</v>
      </c>
      <c r="B471" s="10" t="n">
        <v>1</v>
      </c>
      <c r="C471" s="11" t="s">
        <v>1777</v>
      </c>
      <c r="D471" s="10" t="s">
        <v>1987</v>
      </c>
      <c r="E471" s="11"/>
      <c r="F471" s="11"/>
    </row>
    <row r="472" customFormat="false" ht="15" hidden="false" customHeight="false" outlineLevel="0" collapsed="false">
      <c r="A472" s="10" t="s">
        <v>1755</v>
      </c>
      <c r="B472" s="10" t="n">
        <v>2</v>
      </c>
      <c r="C472" s="11" t="s">
        <v>1777</v>
      </c>
      <c r="D472" s="10" t="s">
        <v>1989</v>
      </c>
      <c r="E472" s="11"/>
      <c r="F472" s="11"/>
    </row>
    <row r="473" customFormat="false" ht="15" hidden="false" customHeight="false" outlineLevel="0" collapsed="false">
      <c r="A473" s="10" t="s">
        <v>1755</v>
      </c>
      <c r="B473" s="10" t="n">
        <v>3</v>
      </c>
      <c r="C473" s="11" t="s">
        <v>1775</v>
      </c>
      <c r="D473" s="10" t="s">
        <v>1990</v>
      </c>
      <c r="E473" s="11" t="n">
        <v>210</v>
      </c>
      <c r="F473" s="11" t="n">
        <v>240</v>
      </c>
    </row>
    <row r="474" customFormat="false" ht="15" hidden="false" customHeight="false" outlineLevel="0" collapsed="false">
      <c r="A474" s="10" t="s">
        <v>1755</v>
      </c>
      <c r="B474" s="10" t="n">
        <v>4</v>
      </c>
      <c r="C474" s="11" t="s">
        <v>1777</v>
      </c>
      <c r="D474" s="10" t="s">
        <v>1991</v>
      </c>
      <c r="E474" s="11"/>
      <c r="F474" s="11"/>
    </row>
    <row r="475" customFormat="false" ht="15" hidden="false" customHeight="false" outlineLevel="0" collapsed="false">
      <c r="A475" s="10" t="s">
        <v>1755</v>
      </c>
      <c r="B475" s="10" t="n">
        <v>5</v>
      </c>
      <c r="C475" s="11" t="s">
        <v>1781</v>
      </c>
      <c r="D475" s="10" t="s">
        <v>1992</v>
      </c>
      <c r="E475" s="11" t="n">
        <v>60</v>
      </c>
      <c r="F475" s="11"/>
    </row>
    <row r="476" customFormat="false" ht="23.85" hidden="false" customHeight="false" outlineLevel="0" collapsed="false">
      <c r="A476" s="10" t="s">
        <v>1759</v>
      </c>
      <c r="B476" s="10" t="n">
        <v>1</v>
      </c>
      <c r="C476" s="11" t="s">
        <v>1777</v>
      </c>
      <c r="D476" s="10" t="s">
        <v>1993</v>
      </c>
      <c r="E476" s="11"/>
      <c r="F476" s="11"/>
    </row>
    <row r="477" customFormat="false" ht="15" hidden="false" customHeight="false" outlineLevel="0" collapsed="false">
      <c r="A477" s="10" t="s">
        <v>1759</v>
      </c>
      <c r="B477" s="10" t="n">
        <v>2</v>
      </c>
      <c r="C477" s="11" t="s">
        <v>1775</v>
      </c>
      <c r="D477" s="10" t="s">
        <v>1877</v>
      </c>
      <c r="E477" s="11" t="n">
        <v>60</v>
      </c>
      <c r="F477" s="11" t="n">
        <v>90</v>
      </c>
    </row>
    <row r="478" customFormat="false" ht="15" hidden="false" customHeight="false" outlineLevel="0" collapsed="false">
      <c r="A478" s="10" t="s">
        <v>1759</v>
      </c>
      <c r="B478" s="10" t="n">
        <v>3</v>
      </c>
      <c r="C478" s="11" t="s">
        <v>1781</v>
      </c>
      <c r="D478" s="10" t="s">
        <v>1956</v>
      </c>
      <c r="E478" s="11" t="n">
        <v>60</v>
      </c>
      <c r="F478"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9"/>
    <col collapsed="false" customWidth="true" hidden="false" outlineLevel="0" max="4" min="4" style="0" width="11"/>
  </cols>
  <sheetData>
    <row r="1" customFormat="false" ht="23.85" hidden="false" customHeight="false" outlineLevel="0" collapsed="false">
      <c r="A1" s="9" t="s">
        <v>1769</v>
      </c>
      <c r="B1" s="9" t="s">
        <v>1994</v>
      </c>
      <c r="C1" s="9" t="s">
        <v>1773</v>
      </c>
      <c r="D1" s="9" t="s">
        <v>1774</v>
      </c>
    </row>
    <row r="2" customFormat="false" ht="15" hidden="false" customHeight="false" outlineLevel="0" collapsed="false">
      <c r="A2" s="10" t="s">
        <v>980</v>
      </c>
      <c r="B2" s="11" t="n">
        <v>1200</v>
      </c>
      <c r="C2" s="11" t="n">
        <v>330</v>
      </c>
      <c r="D2" s="11"/>
    </row>
    <row r="3" customFormat="false" ht="15" hidden="false" customHeight="false" outlineLevel="0" collapsed="false">
      <c r="A3" s="10" t="s">
        <v>980</v>
      </c>
      <c r="B3" s="11" t="n">
        <v>1000</v>
      </c>
      <c r="C3" s="11" t="n">
        <v>360</v>
      </c>
      <c r="D3" s="11"/>
    </row>
    <row r="4" customFormat="false" ht="15" hidden="false" customHeight="false" outlineLevel="0" collapsed="false">
      <c r="A4" s="10" t="s">
        <v>980</v>
      </c>
      <c r="B4" s="11" t="n">
        <v>800</v>
      </c>
      <c r="C4" s="11" t="n">
        <v>420</v>
      </c>
      <c r="D4" s="11"/>
    </row>
    <row r="5" customFormat="false" ht="15" hidden="false" customHeight="false" outlineLevel="0" collapsed="false">
      <c r="A5" s="10" t="s">
        <v>990</v>
      </c>
      <c r="B5" s="11" t="n">
        <v>1200</v>
      </c>
      <c r="C5" s="11" t="n">
        <v>300</v>
      </c>
      <c r="D5" s="11"/>
    </row>
    <row r="6" customFormat="false" ht="15" hidden="false" customHeight="false" outlineLevel="0" collapsed="false">
      <c r="A6" s="10" t="s">
        <v>990</v>
      </c>
      <c r="B6" s="11" t="n">
        <v>1000</v>
      </c>
      <c r="C6" s="11" t="n">
        <v>330</v>
      </c>
      <c r="D6" s="11"/>
    </row>
    <row r="7" customFormat="false" ht="15" hidden="false" customHeight="false" outlineLevel="0" collapsed="false">
      <c r="A7" s="10" t="s">
        <v>990</v>
      </c>
      <c r="B7" s="11" t="n">
        <v>800</v>
      </c>
      <c r="C7" s="11" t="n">
        <v>360</v>
      </c>
      <c r="D7" s="11"/>
    </row>
    <row r="8" customFormat="false" ht="15" hidden="false" customHeight="false" outlineLevel="0" collapsed="false">
      <c r="A8" s="10" t="s">
        <v>1004</v>
      </c>
      <c r="B8" s="11" t="n">
        <v>1000</v>
      </c>
      <c r="C8" s="11" t="n">
        <v>330</v>
      </c>
      <c r="D8" s="11" t="n">
        <v>360</v>
      </c>
    </row>
    <row r="9" customFormat="false" ht="15" hidden="false" customHeight="false" outlineLevel="0" collapsed="false">
      <c r="A9" s="10" t="s">
        <v>1004</v>
      </c>
      <c r="B9" s="11" t="n">
        <v>700</v>
      </c>
      <c r="C9" s="11" t="n">
        <v>420</v>
      </c>
      <c r="D9" s="11"/>
    </row>
    <row r="10" customFormat="false" ht="15" hidden="false" customHeight="false" outlineLevel="0" collapsed="false">
      <c r="A10" s="10" t="s">
        <v>1013</v>
      </c>
      <c r="B10" s="11" t="n">
        <v>1000</v>
      </c>
      <c r="C10" s="11" t="n">
        <v>330</v>
      </c>
      <c r="D10" s="11" t="n">
        <v>360</v>
      </c>
    </row>
    <row r="11" customFormat="false" ht="15" hidden="false" customHeight="false" outlineLevel="0" collapsed="false">
      <c r="A11" s="10" t="s">
        <v>1013</v>
      </c>
      <c r="B11" s="11" t="n">
        <v>700</v>
      </c>
      <c r="C11" s="11" t="n">
        <v>420</v>
      </c>
      <c r="D11" s="11"/>
    </row>
    <row r="12" customFormat="false" ht="15" hidden="false" customHeight="false" outlineLevel="0" collapsed="false">
      <c r="A12" s="10" t="s">
        <v>1018</v>
      </c>
      <c r="B12" s="11" t="n">
        <v>1200</v>
      </c>
      <c r="C12" s="11" t="n">
        <v>300</v>
      </c>
      <c r="D12" s="11" t="n">
        <v>330</v>
      </c>
    </row>
    <row r="13" customFormat="false" ht="15" hidden="false" customHeight="false" outlineLevel="0" collapsed="false">
      <c r="A13" s="10" t="s">
        <v>1018</v>
      </c>
      <c r="B13" s="11" t="n">
        <v>1000</v>
      </c>
      <c r="C13" s="11" t="n">
        <v>420</v>
      </c>
      <c r="D13" s="11" t="n">
        <v>450</v>
      </c>
    </row>
    <row r="14" customFormat="false" ht="15" hidden="false" customHeight="false" outlineLevel="0" collapsed="false">
      <c r="A14" s="10" t="s">
        <v>1018</v>
      </c>
      <c r="B14" s="11" t="n">
        <v>700</v>
      </c>
      <c r="C14" s="11" t="n">
        <v>510</v>
      </c>
      <c r="D14" s="11" t="n">
        <v>540</v>
      </c>
    </row>
    <row r="15" customFormat="false" ht="15" hidden="false" customHeight="false" outlineLevel="0" collapsed="false">
      <c r="A15" s="10" t="s">
        <v>1197</v>
      </c>
      <c r="B15" s="11" t="n">
        <v>1200</v>
      </c>
      <c r="C15" s="11" t="n">
        <v>330</v>
      </c>
      <c r="D15" s="11"/>
    </row>
    <row r="16" customFormat="false" ht="15" hidden="false" customHeight="false" outlineLevel="0" collapsed="false">
      <c r="A16" s="10" t="s">
        <v>1197</v>
      </c>
      <c r="B16" s="11" t="n">
        <v>1000</v>
      </c>
      <c r="C16" s="11" t="n">
        <v>360</v>
      </c>
      <c r="D16" s="11"/>
    </row>
    <row r="17" customFormat="false" ht="15" hidden="false" customHeight="false" outlineLevel="0" collapsed="false">
      <c r="A17" s="10" t="s">
        <v>1197</v>
      </c>
      <c r="B17" s="11" t="n">
        <v>800</v>
      </c>
      <c r="C17" s="11" t="n">
        <v>450</v>
      </c>
      <c r="D17" s="11"/>
    </row>
    <row r="18" customFormat="false" ht="15" hidden="false" customHeight="false" outlineLevel="0" collapsed="false">
      <c r="A18" s="10" t="s">
        <v>1232</v>
      </c>
      <c r="B18" s="11" t="n">
        <v>1200</v>
      </c>
      <c r="C18" s="11" t="n">
        <v>270</v>
      </c>
      <c r="D18" s="11" t="n">
        <v>300</v>
      </c>
    </row>
    <row r="19" customFormat="false" ht="15" hidden="false" customHeight="false" outlineLevel="0" collapsed="false">
      <c r="A19" s="10" t="s">
        <v>1232</v>
      </c>
      <c r="B19" s="11" t="n">
        <v>1000</v>
      </c>
      <c r="C19" s="11" t="n">
        <v>360</v>
      </c>
      <c r="D19" s="11" t="n">
        <v>390</v>
      </c>
    </row>
    <row r="20" customFormat="false" ht="15" hidden="false" customHeight="false" outlineLevel="0" collapsed="false">
      <c r="A20" s="10" t="s">
        <v>1232</v>
      </c>
      <c r="B20" s="11" t="n">
        <v>700</v>
      </c>
      <c r="C20" s="11" t="n">
        <v>420</v>
      </c>
      <c r="D20" s="11" t="n">
        <v>450</v>
      </c>
    </row>
    <row r="21" customFormat="false" ht="15" hidden="false" customHeight="false" outlineLevel="0" collapsed="false">
      <c r="A21" s="10" t="s">
        <v>1532</v>
      </c>
      <c r="B21" s="11" t="n">
        <v>1200</v>
      </c>
      <c r="C21" s="11" t="n">
        <v>270</v>
      </c>
      <c r="D21" s="11"/>
    </row>
    <row r="22" customFormat="false" ht="15" hidden="false" customHeight="false" outlineLevel="0" collapsed="false">
      <c r="A22" s="10" t="s">
        <v>1532</v>
      </c>
      <c r="B22" s="11" t="n">
        <v>1000</v>
      </c>
      <c r="C22" s="11" t="n">
        <v>300</v>
      </c>
      <c r="D22" s="11"/>
    </row>
    <row r="23" customFormat="false" ht="15" hidden="false" customHeight="false" outlineLevel="0" collapsed="false">
      <c r="A23" s="10" t="s">
        <v>1532</v>
      </c>
      <c r="B23" s="11" t="n">
        <v>800</v>
      </c>
      <c r="C23" s="11" t="n">
        <v>360</v>
      </c>
      <c r="D23" s="11"/>
    </row>
    <row r="24" customFormat="false" ht="15" hidden="false" customHeight="false" outlineLevel="0" collapsed="false">
      <c r="A24" s="10" t="s">
        <v>1539</v>
      </c>
      <c r="B24" s="11" t="n">
        <v>1200</v>
      </c>
      <c r="C24" s="11" t="n">
        <v>300</v>
      </c>
      <c r="D24" s="11"/>
    </row>
    <row r="25" customFormat="false" ht="15" hidden="false" customHeight="false" outlineLevel="0" collapsed="false">
      <c r="A25" s="10" t="s">
        <v>1539</v>
      </c>
      <c r="B25" s="11" t="n">
        <v>1000</v>
      </c>
      <c r="C25" s="11" t="n">
        <v>330</v>
      </c>
      <c r="D25" s="11"/>
    </row>
    <row r="26" customFormat="false" ht="15" hidden="false" customHeight="false" outlineLevel="0" collapsed="false">
      <c r="A26" s="10" t="s">
        <v>1539</v>
      </c>
      <c r="B26" s="11" t="n">
        <v>800</v>
      </c>
      <c r="C26" s="11" t="n">
        <v>360</v>
      </c>
      <c r="D26" s="11"/>
    </row>
    <row r="27" customFormat="false" ht="15" hidden="false" customHeight="false" outlineLevel="0" collapsed="false">
      <c r="A27" s="10" t="s">
        <v>1546</v>
      </c>
      <c r="B27" s="11" t="n">
        <v>1200</v>
      </c>
      <c r="C27" s="11" t="n">
        <v>480</v>
      </c>
      <c r="D27" s="11"/>
    </row>
    <row r="28" customFormat="false" ht="15" hidden="false" customHeight="false" outlineLevel="0" collapsed="false">
      <c r="A28" s="10" t="s">
        <v>1546</v>
      </c>
      <c r="B28" s="11" t="n">
        <v>1000</v>
      </c>
      <c r="C28" s="11" t="n">
        <v>540</v>
      </c>
      <c r="D28" s="11"/>
    </row>
    <row r="29" customFormat="false" ht="15" hidden="false" customHeight="false" outlineLevel="0" collapsed="false">
      <c r="A29" s="10" t="s">
        <v>1546</v>
      </c>
      <c r="B29" s="11" t="n">
        <v>800</v>
      </c>
      <c r="C29" s="11" t="n">
        <v>600</v>
      </c>
      <c r="D29" s="11"/>
    </row>
    <row r="30" customFormat="false" ht="15" hidden="false" customHeight="false" outlineLevel="0" collapsed="false">
      <c r="A30" s="10" t="s">
        <v>1552</v>
      </c>
      <c r="B30" s="11" t="n">
        <v>1200</v>
      </c>
      <c r="C30" s="11" t="n">
        <v>180</v>
      </c>
      <c r="D30" s="11" t="n">
        <v>240</v>
      </c>
    </row>
    <row r="31" customFormat="false" ht="15" hidden="false" customHeight="false" outlineLevel="0" collapsed="false">
      <c r="A31" s="10" t="s">
        <v>1552</v>
      </c>
      <c r="B31" s="11" t="n">
        <v>1000</v>
      </c>
      <c r="C31" s="11" t="n">
        <v>240</v>
      </c>
      <c r="D31" s="11" t="n">
        <v>270</v>
      </c>
    </row>
    <row r="32" customFormat="false" ht="15" hidden="false" customHeight="false" outlineLevel="0" collapsed="false">
      <c r="A32" s="10" t="s">
        <v>1552</v>
      </c>
      <c r="B32" s="11" t="n">
        <v>700</v>
      </c>
      <c r="C32" s="11" t="n">
        <v>300</v>
      </c>
      <c r="D32" s="11"/>
    </row>
    <row r="33" customFormat="false" ht="15" hidden="false" customHeight="false" outlineLevel="0" collapsed="false">
      <c r="A33" s="10" t="s">
        <v>1560</v>
      </c>
      <c r="B33" s="11" t="n">
        <v>1200</v>
      </c>
      <c r="C33" s="11" t="n">
        <v>270</v>
      </c>
      <c r="D33" s="11" t="n">
        <v>330</v>
      </c>
    </row>
    <row r="34" customFormat="false" ht="15" hidden="false" customHeight="false" outlineLevel="0" collapsed="false">
      <c r="A34" s="10" t="s">
        <v>1560</v>
      </c>
      <c r="B34" s="11" t="n">
        <v>1000</v>
      </c>
      <c r="C34" s="11" t="n">
        <v>300</v>
      </c>
      <c r="D34" s="11" t="n">
        <v>360</v>
      </c>
    </row>
    <row r="35" customFormat="false" ht="15" hidden="false" customHeight="false" outlineLevel="0" collapsed="false">
      <c r="A35" s="10" t="s">
        <v>1560</v>
      </c>
      <c r="B35" s="11" t="n">
        <v>700</v>
      </c>
      <c r="C35" s="11" t="n">
        <v>360</v>
      </c>
      <c r="D35" s="11" t="n">
        <v>420</v>
      </c>
    </row>
    <row r="36" customFormat="false" ht="15" hidden="false" customHeight="false" outlineLevel="0" collapsed="false">
      <c r="A36" s="10" t="s">
        <v>1568</v>
      </c>
      <c r="B36" s="11" t="n">
        <v>1200</v>
      </c>
      <c r="C36" s="11" t="n">
        <v>180</v>
      </c>
      <c r="D36" s="11" t="n">
        <v>210</v>
      </c>
    </row>
    <row r="37" customFormat="false" ht="15" hidden="false" customHeight="false" outlineLevel="0" collapsed="false">
      <c r="A37" s="10" t="s">
        <v>1568</v>
      </c>
      <c r="B37" s="11" t="n">
        <v>1000</v>
      </c>
      <c r="C37" s="11" t="n">
        <v>240</v>
      </c>
      <c r="D37" s="11"/>
    </row>
    <row r="38" customFormat="false" ht="15" hidden="false" customHeight="false" outlineLevel="0" collapsed="false">
      <c r="A38" s="10" t="s">
        <v>1568</v>
      </c>
      <c r="B38" s="11" t="n">
        <v>700</v>
      </c>
      <c r="C38" s="11" t="n">
        <v>300</v>
      </c>
      <c r="D38" s="11" t="n">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8"/>
    <col collapsed="false" customWidth="true" hidden="false" outlineLevel="0" max="4" min="4" style="0" width="30"/>
    <col collapsed="false" customWidth="true" hidden="false" outlineLevel="0" max="5" min="5" style="0" width="16"/>
    <col collapsed="false" customWidth="true" hidden="false" outlineLevel="0" max="6" min="6" style="0" width="26"/>
    <col collapsed="false" customWidth="true" hidden="false" outlineLevel="0" max="7" min="7" style="0" width="16"/>
    <col collapsed="false" customWidth="true" hidden="false" outlineLevel="0" max="8" min="8" style="0" width="60"/>
  </cols>
  <sheetData>
    <row r="1" customFormat="false" ht="15" hidden="false" customHeight="false" outlineLevel="0" collapsed="false">
      <c r="A1" s="9" t="s">
        <v>463</v>
      </c>
      <c r="B1" s="9" t="s">
        <v>442</v>
      </c>
      <c r="C1" s="9" t="s">
        <v>1995</v>
      </c>
      <c r="D1" s="9" t="s">
        <v>1996</v>
      </c>
      <c r="E1" s="9" t="s">
        <v>434</v>
      </c>
      <c r="F1" s="9" t="s">
        <v>1997</v>
      </c>
      <c r="G1" s="9" t="s">
        <v>409</v>
      </c>
      <c r="H1" s="9" t="s">
        <v>1998</v>
      </c>
    </row>
    <row r="2" customFormat="false" ht="35.05" hidden="false" customHeight="false" outlineLevel="0" collapsed="false">
      <c r="A2" s="10" t="s">
        <v>1999</v>
      </c>
      <c r="B2" s="10" t="s">
        <v>317</v>
      </c>
      <c r="C2" s="10" t="s">
        <v>2000</v>
      </c>
      <c r="D2" s="10" t="s">
        <v>2001</v>
      </c>
      <c r="E2" s="10" t="s">
        <v>377</v>
      </c>
      <c r="F2" s="10" t="s">
        <v>2002</v>
      </c>
      <c r="G2" s="10" t="s">
        <v>2003</v>
      </c>
      <c r="H2" s="10" t="s">
        <v>2004</v>
      </c>
    </row>
    <row r="3" customFormat="false" ht="23.85" hidden="false" customHeight="false" outlineLevel="0" collapsed="false">
      <c r="A3" s="10" t="s">
        <v>2005</v>
      </c>
      <c r="B3" s="10" t="s">
        <v>2006</v>
      </c>
      <c r="C3" s="10" t="s">
        <v>2000</v>
      </c>
      <c r="D3" s="10" t="s">
        <v>2007</v>
      </c>
      <c r="E3" s="10" t="s">
        <v>377</v>
      </c>
      <c r="F3" s="10" t="s">
        <v>2008</v>
      </c>
      <c r="G3" s="10" t="s">
        <v>2003</v>
      </c>
      <c r="H3" s="10" t="s">
        <v>2009</v>
      </c>
    </row>
    <row r="4" customFormat="false" ht="23.85" hidden="false" customHeight="false" outlineLevel="0" collapsed="false">
      <c r="A4" s="10" t="s">
        <v>2010</v>
      </c>
      <c r="B4" s="10" t="s">
        <v>317</v>
      </c>
      <c r="C4" s="10" t="s">
        <v>2000</v>
      </c>
      <c r="D4" s="10" t="s">
        <v>2011</v>
      </c>
      <c r="E4" s="10" t="s">
        <v>387</v>
      </c>
      <c r="F4" s="10" t="s">
        <v>2012</v>
      </c>
      <c r="G4" s="10" t="s">
        <v>2013</v>
      </c>
      <c r="H4" s="10" t="s">
        <v>2014</v>
      </c>
    </row>
    <row r="5" customFormat="false" ht="57.45" hidden="false" customHeight="false" outlineLevel="0" collapsed="false">
      <c r="A5" s="10" t="s">
        <v>2015</v>
      </c>
      <c r="B5" s="10" t="s">
        <v>2016</v>
      </c>
      <c r="C5" s="10" t="s">
        <v>2017</v>
      </c>
      <c r="D5" s="10" t="s">
        <v>2018</v>
      </c>
      <c r="E5" s="10" t="s">
        <v>2019</v>
      </c>
      <c r="F5" s="10" t="s">
        <v>2020</v>
      </c>
      <c r="G5" s="10" t="s">
        <v>2021</v>
      </c>
      <c r="H5" s="10" t="s">
        <v>2022</v>
      </c>
    </row>
    <row r="6" customFormat="false" ht="35.05" hidden="false" customHeight="false" outlineLevel="0" collapsed="false">
      <c r="A6" s="10" t="s">
        <v>2023</v>
      </c>
      <c r="B6" s="10" t="s">
        <v>2024</v>
      </c>
      <c r="C6" s="10" t="s">
        <v>2025</v>
      </c>
      <c r="D6" s="10" t="s">
        <v>2026</v>
      </c>
      <c r="E6" s="10" t="s">
        <v>2027</v>
      </c>
      <c r="F6" s="10" t="s">
        <v>2028</v>
      </c>
      <c r="G6" s="10" t="s">
        <v>2029</v>
      </c>
      <c r="H6" s="10" t="s">
        <v>2030</v>
      </c>
    </row>
    <row r="7" customFormat="false" ht="23.85" hidden="false" customHeight="false" outlineLevel="0" collapsed="false">
      <c r="A7" s="10" t="s">
        <v>2031</v>
      </c>
      <c r="B7" s="10" t="s">
        <v>454</v>
      </c>
      <c r="C7" s="10" t="s">
        <v>2032</v>
      </c>
      <c r="D7" s="10" t="s">
        <v>2033</v>
      </c>
      <c r="E7" s="10" t="s">
        <v>2027</v>
      </c>
      <c r="F7" s="10" t="s">
        <v>2034</v>
      </c>
      <c r="G7" s="10" t="s">
        <v>2029</v>
      </c>
      <c r="H7" s="10" t="s">
        <v>2035</v>
      </c>
    </row>
    <row r="8" customFormat="false" ht="23.85" hidden="false" customHeight="false" outlineLevel="0" collapsed="false">
      <c r="A8" s="10" t="s">
        <v>2036</v>
      </c>
      <c r="B8" s="10" t="s">
        <v>454</v>
      </c>
      <c r="C8" s="10" t="s">
        <v>2037</v>
      </c>
      <c r="D8" s="10" t="s">
        <v>2033</v>
      </c>
      <c r="E8" s="10" t="s">
        <v>2027</v>
      </c>
      <c r="F8" s="10" t="s">
        <v>2038</v>
      </c>
      <c r="G8" s="10" t="s">
        <v>2029</v>
      </c>
      <c r="H8" s="10" t="s">
        <v>2035</v>
      </c>
    </row>
    <row r="9" customFormat="false" ht="23.85" hidden="false" customHeight="false" outlineLevel="0" collapsed="false">
      <c r="A9" s="10" t="s">
        <v>2039</v>
      </c>
      <c r="B9" s="10" t="s">
        <v>454</v>
      </c>
      <c r="C9" s="10" t="s">
        <v>2040</v>
      </c>
      <c r="D9" s="10" t="s">
        <v>2033</v>
      </c>
      <c r="E9" s="10" t="s">
        <v>2027</v>
      </c>
      <c r="F9" s="10" t="s">
        <v>2041</v>
      </c>
      <c r="G9" s="10" t="s">
        <v>2029</v>
      </c>
      <c r="H9" s="10" t="s">
        <v>2035</v>
      </c>
    </row>
    <row r="10" customFormat="false" ht="23.85" hidden="false" customHeight="false" outlineLevel="0" collapsed="false">
      <c r="A10" s="10" t="s">
        <v>2042</v>
      </c>
      <c r="B10" s="10" t="s">
        <v>454</v>
      </c>
      <c r="C10" s="10" t="s">
        <v>2043</v>
      </c>
      <c r="D10" s="10" t="s">
        <v>2033</v>
      </c>
      <c r="E10" s="10" t="s">
        <v>2027</v>
      </c>
      <c r="F10" s="10" t="s">
        <v>2044</v>
      </c>
      <c r="G10" s="10" t="s">
        <v>2029</v>
      </c>
      <c r="H10" s="10" t="s">
        <v>2035</v>
      </c>
    </row>
    <row r="11" customFormat="false" ht="23.85" hidden="false" customHeight="false" outlineLevel="0" collapsed="false">
      <c r="A11" s="10" t="s">
        <v>2045</v>
      </c>
      <c r="B11" s="10" t="s">
        <v>454</v>
      </c>
      <c r="C11" s="10" t="s">
        <v>2046</v>
      </c>
      <c r="D11" s="10" t="s">
        <v>2033</v>
      </c>
      <c r="E11" s="10" t="s">
        <v>2027</v>
      </c>
      <c r="F11" s="10" t="s">
        <v>2047</v>
      </c>
      <c r="G11" s="10" t="s">
        <v>2029</v>
      </c>
      <c r="H11" s="10" t="s">
        <v>2035</v>
      </c>
    </row>
    <row r="12" customFormat="false" ht="57.45" hidden="false" customHeight="false" outlineLevel="0" collapsed="false">
      <c r="A12" s="10" t="s">
        <v>2048</v>
      </c>
      <c r="B12" s="10" t="s">
        <v>454</v>
      </c>
      <c r="C12" s="10" t="s">
        <v>2049</v>
      </c>
      <c r="D12" s="10" t="s">
        <v>2050</v>
      </c>
      <c r="E12" s="10" t="s">
        <v>2027</v>
      </c>
      <c r="F12" s="10" t="s">
        <v>2051</v>
      </c>
      <c r="G12" s="10" t="s">
        <v>2052</v>
      </c>
      <c r="H12" s="10" t="s">
        <v>2035</v>
      </c>
    </row>
    <row r="13" customFormat="false" ht="57.45" hidden="false" customHeight="false" outlineLevel="0" collapsed="false">
      <c r="A13" s="10" t="s">
        <v>2053</v>
      </c>
      <c r="B13" s="10" t="s">
        <v>325</v>
      </c>
      <c r="C13" s="10" t="s">
        <v>2054</v>
      </c>
      <c r="D13" s="10" t="s">
        <v>2055</v>
      </c>
      <c r="E13" s="10" t="s">
        <v>2056</v>
      </c>
      <c r="F13" s="10" t="s">
        <v>2057</v>
      </c>
      <c r="G13" s="10" t="s">
        <v>2058</v>
      </c>
      <c r="H13" s="10" t="s">
        <v>2059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6"/>
    <col collapsed="false" customWidth="true" hidden="false" outlineLevel="0" max="4" min="4" style="0" width="10"/>
    <col collapsed="false" customWidth="true" hidden="false" outlineLevel="0" max="6" min="5" style="0" width="12"/>
    <col collapsed="false" customWidth="true" hidden="false" outlineLevel="0" max="7" min="7" style="0" width="70"/>
    <col collapsed="false" customWidth="true" hidden="false" outlineLevel="0" max="8" min="8" style="0" width="12"/>
  </cols>
  <sheetData>
    <row r="1" customFormat="false" ht="15" hidden="false" customHeight="false" outlineLevel="0" collapsed="false">
      <c r="A1" s="9" t="s">
        <v>2060</v>
      </c>
      <c r="B1" s="9" t="s">
        <v>2061</v>
      </c>
      <c r="C1" s="9" t="s">
        <v>409</v>
      </c>
      <c r="D1" s="9" t="s">
        <v>1997</v>
      </c>
      <c r="E1" s="9" t="s">
        <v>2062</v>
      </c>
      <c r="F1" s="9" t="s">
        <v>369</v>
      </c>
      <c r="G1" s="9" t="s">
        <v>2063</v>
      </c>
    </row>
    <row r="2" customFormat="false" ht="102.2" hidden="false" customHeight="false" outlineLevel="0" collapsed="false">
      <c r="A2" s="10" t="s">
        <v>2064</v>
      </c>
      <c r="B2" s="10" t="s">
        <v>2065</v>
      </c>
      <c r="C2" s="10" t="s">
        <v>356</v>
      </c>
      <c r="D2" s="10" t="n">
        <v>3E-011</v>
      </c>
      <c r="E2" s="10" t="n">
        <v>3.79105983709923E-011</v>
      </c>
      <c r="F2" s="10" t="s">
        <v>2066</v>
      </c>
      <c r="G2" s="26" t="n">
        <f aca="false">IF(AND(ISNUMBER(D2),ISNUMBER(E2)),IF(D2&lt;&gt;0,E2/D2,""),"")</f>
        <v>1.26368661236641</v>
      </c>
    </row>
    <row r="3" customFormat="false" ht="91" hidden="false" customHeight="false" outlineLevel="0" collapsed="false">
      <c r="A3" s="10" t="s">
        <v>2067</v>
      </c>
      <c r="B3" s="10" t="s">
        <v>2068</v>
      </c>
      <c r="C3" s="10" t="s">
        <v>2069</v>
      </c>
      <c r="D3" s="10" t="n">
        <v>6.8</v>
      </c>
      <c r="E3" s="10" t="n">
        <v>6.31</v>
      </c>
      <c r="F3" s="10" t="s">
        <v>2070</v>
      </c>
      <c r="G3" s="26" t="n">
        <f aca="false">IF(AND(ISNUMBER(D3),ISNUMBER(E3)),IF(D3&lt;&gt;0,E3/D3,""),"")</f>
        <v>0.927941176470588</v>
      </c>
    </row>
    <row r="4" customFormat="false" ht="91" hidden="false" customHeight="false" outlineLevel="0" collapsed="false">
      <c r="A4" s="10" t="s">
        <v>2067</v>
      </c>
      <c r="B4" s="10" t="s">
        <v>2071</v>
      </c>
      <c r="C4" s="10" t="s">
        <v>2069</v>
      </c>
      <c r="D4" s="10" t="n">
        <v>6.8</v>
      </c>
      <c r="E4" s="10" t="n">
        <v>5.41</v>
      </c>
      <c r="F4" s="10" t="s">
        <v>2070</v>
      </c>
      <c r="G4" s="26" t="n">
        <f aca="false">IF(AND(ISNUMBER(D4),ISNUMBER(E4)),IF(D4&lt;&gt;0,E4/D4,""),"")</f>
        <v>0.795588235294118</v>
      </c>
    </row>
    <row r="5" customFormat="false" ht="102.2" hidden="false" customHeight="false" outlineLevel="0" collapsed="false">
      <c r="A5" s="10" t="s">
        <v>2064</v>
      </c>
      <c r="B5" s="10" t="s">
        <v>2072</v>
      </c>
      <c r="C5" s="10" t="s">
        <v>356</v>
      </c>
      <c r="D5" s="10" t="n">
        <v>2.4E-010</v>
      </c>
      <c r="E5" s="10" t="n">
        <v>3.13844943700294E-010</v>
      </c>
      <c r="F5" s="10" t="s">
        <v>2066</v>
      </c>
      <c r="G5" s="26" t="n">
        <f aca="false">IF(AND(ISNUMBER(D5),ISNUMBER(E5)),IF(D5&lt;&gt;0,E5/D5,""),"")</f>
        <v>1.30768726541789</v>
      </c>
    </row>
    <row r="6" customFormat="false" ht="91" hidden="false" customHeight="false" outlineLevel="0" collapsed="false">
      <c r="A6" s="10" t="s">
        <v>2067</v>
      </c>
      <c r="B6" s="10" t="s">
        <v>2073</v>
      </c>
      <c r="C6" s="10" t="s">
        <v>2069</v>
      </c>
      <c r="D6" s="10" t="n">
        <v>18.6</v>
      </c>
      <c r="E6" s="10" t="n">
        <v>23.5</v>
      </c>
      <c r="F6" s="10" t="s">
        <v>2070</v>
      </c>
      <c r="G6" s="26" t="n">
        <f aca="false">IF(AND(ISNUMBER(D6),ISNUMBER(E6)),IF(D6&lt;&gt;0,E6/D6,""),"")</f>
        <v>1.26344086021505</v>
      </c>
    </row>
    <row r="7" customFormat="false" ht="91" hidden="false" customHeight="false" outlineLevel="0" collapsed="false">
      <c r="A7" s="10" t="s">
        <v>2067</v>
      </c>
      <c r="B7" s="10" t="s">
        <v>2074</v>
      </c>
      <c r="C7" s="10" t="s">
        <v>2069</v>
      </c>
      <c r="D7" s="10" t="n">
        <v>18.6</v>
      </c>
      <c r="E7" s="10" t="n">
        <v>20.55</v>
      </c>
      <c r="F7" s="10" t="s">
        <v>2070</v>
      </c>
      <c r="G7" s="26" t="n">
        <f aca="false">IF(AND(ISNUMBER(D7),ISNUMBER(E7)),IF(D7&lt;&gt;0,E7/D7,""),"")</f>
        <v>1.10483870967742</v>
      </c>
    </row>
    <row r="8" customFormat="false" ht="102.2" hidden="false" customHeight="false" outlineLevel="0" collapsed="false">
      <c r="A8" s="10" t="s">
        <v>2064</v>
      </c>
      <c r="B8" s="10" t="s">
        <v>2075</v>
      </c>
      <c r="C8" s="10" t="s">
        <v>356</v>
      </c>
      <c r="D8" s="10" t="n">
        <v>3.3E-009</v>
      </c>
      <c r="E8" s="10" t="n">
        <v>2.23660635919293E-009</v>
      </c>
      <c r="F8" s="10" t="s">
        <v>2066</v>
      </c>
      <c r="G8" s="26" t="n">
        <f aca="false">IF(AND(ISNUMBER(D8),ISNUMBER(E8)),IF(D8&lt;&gt;0,E8/D8,""),"")</f>
        <v>0.677759502785737</v>
      </c>
    </row>
    <row r="9" customFormat="false" ht="91" hidden="false" customHeight="false" outlineLevel="0" collapsed="false">
      <c r="A9" s="10" t="s">
        <v>2067</v>
      </c>
      <c r="B9" s="10" t="s">
        <v>2076</v>
      </c>
      <c r="C9" s="10" t="s">
        <v>2069</v>
      </c>
      <c r="D9" s="10" t="n">
        <v>62</v>
      </c>
      <c r="E9" s="10" t="n">
        <v>55.09</v>
      </c>
      <c r="F9" s="10" t="s">
        <v>2070</v>
      </c>
      <c r="G9" s="26" t="n">
        <f aca="false">IF(AND(ISNUMBER(D9),ISNUMBER(E9)),IF(D9&lt;&gt;0,E9/D9,""),"")</f>
        <v>0.888548387096774</v>
      </c>
    </row>
    <row r="10" customFormat="false" ht="91" hidden="false" customHeight="false" outlineLevel="0" collapsed="false">
      <c r="A10" s="10" t="s">
        <v>2067</v>
      </c>
      <c r="B10" s="10" t="s">
        <v>2077</v>
      </c>
      <c r="C10" s="10" t="s">
        <v>2069</v>
      </c>
      <c r="D10" s="10" t="n">
        <v>62</v>
      </c>
      <c r="E10" s="10" t="n">
        <v>59.31</v>
      </c>
      <c r="F10" s="10" t="s">
        <v>2070</v>
      </c>
      <c r="G10" s="26" t="n">
        <f aca="false">IF(AND(ISNUMBER(D10),ISNUMBER(E10)),IF(D10&lt;&gt;0,E10/D10,""),"")</f>
        <v>0.956612903225807</v>
      </c>
    </row>
    <row r="11" customFormat="false" ht="124.6" hidden="false" customHeight="false" outlineLevel="0" collapsed="false">
      <c r="A11" s="10" t="s">
        <v>2078</v>
      </c>
      <c r="B11" s="10" t="s">
        <v>2079</v>
      </c>
      <c r="C11" s="10" t="s">
        <v>356</v>
      </c>
      <c r="D11" s="10" t="n">
        <v>1.73788335059056E-012</v>
      </c>
      <c r="E11" s="10" t="n">
        <v>3.12139069987134E-009</v>
      </c>
      <c r="F11" s="10" t="s">
        <v>2080</v>
      </c>
      <c r="G11" s="26" t="n">
        <f aca="false">IF(AND(ISNUMBER(D11),ISNUMBER(E11)),IF(D11&lt;&gt;0,E11/D11,""),"")</f>
        <v>1796.08757907177</v>
      </c>
    </row>
    <row r="12" customFormat="false" ht="236.55" hidden="false" customHeight="false" outlineLevel="0" collapsed="false">
      <c r="A12" s="10" t="s">
        <v>2081</v>
      </c>
      <c r="B12" s="10" t="s">
        <v>2082</v>
      </c>
      <c r="C12" s="10" t="s">
        <v>2003</v>
      </c>
      <c r="D12" s="10" t="s">
        <v>2083</v>
      </c>
      <c r="E12" s="10" t="n">
        <v>0.849</v>
      </c>
      <c r="F12" s="10" t="s">
        <v>2084</v>
      </c>
      <c r="G12" s="26" t="str">
        <f aca="false">IF(AND(ISNUMBER(D12),ISNUMBER(E12)),IF(D12&lt;&gt;0,E12/D12,""),"")</f>
        <v/>
      </c>
    </row>
    <row r="13" customFormat="false" ht="236.55" hidden="false" customHeight="false" outlineLevel="0" collapsed="false">
      <c r="A13" s="10" t="s">
        <v>2081</v>
      </c>
      <c r="B13" s="10" t="s">
        <v>2085</v>
      </c>
      <c r="C13" s="10" t="s">
        <v>2003</v>
      </c>
      <c r="D13" s="10" t="s">
        <v>2083</v>
      </c>
      <c r="E13" s="10" t="n">
        <v>1.698</v>
      </c>
      <c r="F13" s="10" t="s">
        <v>2084</v>
      </c>
      <c r="G13" s="26" t="str">
        <f aca="false">IF(AND(ISNUMBER(D13),ISNUMBER(E13)),IF(D13&lt;&gt;0,E13/D13,""),"")</f>
        <v/>
      </c>
    </row>
    <row r="14" customFormat="false" ht="236.55" hidden="false" customHeight="false" outlineLevel="0" collapsed="false">
      <c r="A14" s="10" t="s">
        <v>2081</v>
      </c>
      <c r="B14" s="10" t="s">
        <v>2086</v>
      </c>
      <c r="C14" s="10" t="s">
        <v>2003</v>
      </c>
      <c r="D14" s="10" t="s">
        <v>2083</v>
      </c>
      <c r="E14" s="10" t="n">
        <v>0.849</v>
      </c>
      <c r="F14" s="10" t="s">
        <v>2084</v>
      </c>
      <c r="G14" s="26" t="str">
        <f aca="false">IF(AND(ISNUMBER(D14),ISNUMBER(E14)),IF(D14&lt;&gt;0,E14/D14,""),"")</f>
        <v/>
      </c>
    </row>
    <row r="15" customFormat="false" ht="236.55" hidden="false" customHeight="false" outlineLevel="0" collapsed="false">
      <c r="A15" s="10" t="s">
        <v>2081</v>
      </c>
      <c r="B15" s="10" t="s">
        <v>2087</v>
      </c>
      <c r="C15" s="10" t="s">
        <v>2003</v>
      </c>
      <c r="D15" s="10" t="s">
        <v>2083</v>
      </c>
      <c r="E15" s="10" t="n">
        <v>1.698</v>
      </c>
      <c r="F15" s="10" t="s">
        <v>2084</v>
      </c>
      <c r="G15" s="26" t="str">
        <f aca="false">IF(AND(ISNUMBER(D15),ISNUMBER(E15)),IF(D15&lt;&gt;0,E15/D15,""),"")</f>
        <v/>
      </c>
    </row>
    <row r="16" customFormat="false" ht="314.9" hidden="false" customHeight="false" outlineLevel="0" collapsed="false">
      <c r="A16" s="10" t="s">
        <v>2088</v>
      </c>
      <c r="B16" s="10" t="s">
        <v>2089</v>
      </c>
      <c r="C16" s="10" t="s">
        <v>696</v>
      </c>
      <c r="D16" s="10" t="n">
        <v>0.6</v>
      </c>
      <c r="E16" s="10" t="n">
        <v>0.543</v>
      </c>
      <c r="F16" s="10" t="s">
        <v>2090</v>
      </c>
      <c r="G16" s="26" t="n">
        <f aca="false">IF(AND(ISNUMBER(D16),ISNUMBER(E16)),IF(D16&lt;&gt;0,E16/D16,""),"")</f>
        <v>0.905</v>
      </c>
    </row>
    <row r="17" customFormat="false" ht="147" hidden="false" customHeight="false" outlineLevel="0" collapsed="false">
      <c r="A17" s="10" t="s">
        <v>2091</v>
      </c>
      <c r="B17" s="10" t="s">
        <v>2092</v>
      </c>
      <c r="C17" s="10" t="s">
        <v>664</v>
      </c>
      <c r="D17" s="10" t="s">
        <v>2093</v>
      </c>
      <c r="E17" s="10" t="n">
        <v>45.7</v>
      </c>
      <c r="F17" s="10" t="s">
        <v>2094</v>
      </c>
      <c r="G17" s="26" t="str">
        <f aca="false">IF(AND(ISNUMBER(D17),ISNUMBER(E17)),IF(D17&lt;&gt;0,E17/D17,""),"")</f>
        <v/>
      </c>
    </row>
    <row r="18" customFormat="false" ht="124.6" hidden="false" customHeight="false" outlineLevel="0" collapsed="false">
      <c r="A18" s="10" t="s">
        <v>2091</v>
      </c>
      <c r="B18" s="10" t="s">
        <v>2095</v>
      </c>
      <c r="C18" s="10" t="s">
        <v>664</v>
      </c>
      <c r="D18" s="10" t="s">
        <v>2093</v>
      </c>
      <c r="E18" s="10" t="n">
        <v>100</v>
      </c>
      <c r="F18" s="10" t="s">
        <v>2096</v>
      </c>
      <c r="G18" s="26" t="str">
        <f aca="false">IF(AND(ISNUMBER(D18),ISNUMBER(E18)),IF(D18&lt;&gt;0,E18/D18,""),"")</f>
        <v/>
      </c>
    </row>
    <row r="19" customFormat="false" ht="57.45" hidden="false" customHeight="false" outlineLevel="0" collapsed="false">
      <c r="A19" s="10" t="s">
        <v>2097</v>
      </c>
      <c r="B19" s="10" t="s">
        <v>2098</v>
      </c>
      <c r="C19" s="10" t="s">
        <v>2099</v>
      </c>
      <c r="D19" s="10"/>
      <c r="E19" s="10" t="n">
        <v>0.761</v>
      </c>
      <c r="F19" s="10" t="s">
        <v>2100</v>
      </c>
      <c r="G19" s="26" t="str">
        <f aca="false">IF(AND(ISNUMBER(D19),ISNUMBER(E19)),IF(D19&lt;&gt;0,E19/D19,""),"")</f>
        <v/>
      </c>
    </row>
    <row r="20" customFormat="false" ht="57.45" hidden="false" customHeight="false" outlineLevel="0" collapsed="false">
      <c r="A20" s="10" t="s">
        <v>2097</v>
      </c>
      <c r="B20" s="10" t="s">
        <v>2101</v>
      </c>
      <c r="C20" s="10" t="s">
        <v>2099</v>
      </c>
      <c r="D20" s="10"/>
      <c r="E20" s="10" t="n">
        <v>1.108</v>
      </c>
      <c r="F20" s="10" t="s">
        <v>2102</v>
      </c>
      <c r="G20" s="26" t="str">
        <f aca="false">IF(AND(ISNUMBER(D20),ISNUMBER(E20)),IF(D20&lt;&gt;0,E20/D20,""),"")</f>
        <v/>
      </c>
    </row>
    <row r="21" customFormat="false" ht="57.45" hidden="false" customHeight="false" outlineLevel="0" collapsed="false">
      <c r="A21" s="10" t="s">
        <v>2097</v>
      </c>
      <c r="B21" s="10" t="s">
        <v>2103</v>
      </c>
      <c r="C21" s="10" t="s">
        <v>2099</v>
      </c>
      <c r="D21" s="10"/>
      <c r="E21" s="10" t="n">
        <v>0.788</v>
      </c>
      <c r="F21" s="10" t="s">
        <v>2104</v>
      </c>
      <c r="G21" s="26" t="str">
        <f aca="false">IF(AND(ISNUMBER(D21),ISNUMBER(E21)),IF(D21&lt;&gt;0,E21/D21,""),"")</f>
        <v/>
      </c>
    </row>
    <row r="22" customFormat="false" ht="57.45" hidden="false" customHeight="false" outlineLevel="0" collapsed="false">
      <c r="A22" s="10" t="s">
        <v>2097</v>
      </c>
      <c r="B22" s="10" t="s">
        <v>2105</v>
      </c>
      <c r="C22" s="10" t="s">
        <v>2099</v>
      </c>
      <c r="D22" s="10"/>
      <c r="E22" s="10" t="n">
        <v>0.752</v>
      </c>
      <c r="F22" s="10" t="s">
        <v>2106</v>
      </c>
      <c r="G22" s="26" t="str">
        <f aca="false">IF(AND(ISNUMBER(D22),ISNUMBER(E22)),IF(D22&lt;&gt;0,E22/D22,""),"")</f>
        <v/>
      </c>
    </row>
    <row r="23" customFormat="false" ht="147" hidden="false" customHeight="false" outlineLevel="0" collapsed="false">
      <c r="A23" s="10" t="s">
        <v>2097</v>
      </c>
      <c r="B23" s="10" t="s">
        <v>2107</v>
      </c>
      <c r="C23" s="10" t="s">
        <v>749</v>
      </c>
      <c r="D23" s="10" t="n">
        <v>3</v>
      </c>
      <c r="E23" s="10" t="n">
        <v>3.28</v>
      </c>
      <c r="F23" s="10" t="s">
        <v>2108</v>
      </c>
      <c r="G23" s="26" t="n">
        <f aca="false">IF(AND(ISNUMBER(D23),ISNUMBER(E23)),IF(D23&lt;&gt;0,E23/D23,""),"")</f>
        <v>1.09333333333333</v>
      </c>
    </row>
    <row r="24" customFormat="false" ht="113.4" hidden="false" customHeight="false" outlineLevel="0" collapsed="false">
      <c r="A24" s="10" t="s">
        <v>2097</v>
      </c>
      <c r="B24" s="10" t="s">
        <v>2109</v>
      </c>
      <c r="C24" s="10" t="s">
        <v>749</v>
      </c>
      <c r="D24" s="10" t="n">
        <v>3</v>
      </c>
      <c r="E24" s="10" t="n">
        <v>0.76</v>
      </c>
      <c r="F24" s="10" t="s">
        <v>2110</v>
      </c>
      <c r="G24" s="26" t="n">
        <f aca="false">IF(AND(ISNUMBER(D24),ISNUMBER(E24)),IF(D24&lt;&gt;0,E24/D24,""),"")</f>
        <v>0.253333333333333</v>
      </c>
    </row>
    <row r="25" customFormat="false" ht="135.8" hidden="false" customHeight="false" outlineLevel="0" collapsed="false">
      <c r="A25" s="10" t="s">
        <v>2111</v>
      </c>
      <c r="B25" s="10" t="s">
        <v>2112</v>
      </c>
      <c r="C25" s="10" t="s">
        <v>356</v>
      </c>
      <c r="D25" s="10" t="n">
        <v>5.21E-008</v>
      </c>
      <c r="E25" s="10" t="n">
        <v>1.15E-007</v>
      </c>
      <c r="F25" s="10" t="s">
        <v>2113</v>
      </c>
      <c r="G25" s="26" t="n">
        <f aca="false">IF(AND(ISNUMBER(D25),ISNUMBER(E25)),IF(D25&lt;&gt;0,E25/D25,""),"")</f>
        <v>2.20729366602687</v>
      </c>
    </row>
    <row r="26" customFormat="false" ht="135.8" hidden="false" customHeight="false" outlineLevel="0" collapsed="false">
      <c r="A26" s="10" t="s">
        <v>2111</v>
      </c>
      <c r="B26" s="10" t="s">
        <v>2114</v>
      </c>
      <c r="C26" s="10" t="s">
        <v>356</v>
      </c>
      <c r="D26" s="10" t="n">
        <v>1.21E-007</v>
      </c>
      <c r="E26" s="10" t="n">
        <v>3.54E-007</v>
      </c>
      <c r="F26" s="10" t="s">
        <v>2115</v>
      </c>
      <c r="G26" s="26" t="n">
        <f aca="false">IF(AND(ISNUMBER(D26),ISNUMBER(E26)),IF(D26&lt;&gt;0,E26/D26,""),"")</f>
        <v>2.92561983471074</v>
      </c>
    </row>
    <row r="27" customFormat="false" ht="135.8" hidden="false" customHeight="false" outlineLevel="0" collapsed="false">
      <c r="A27" s="10" t="s">
        <v>2111</v>
      </c>
      <c r="B27" s="10" t="s">
        <v>2116</v>
      </c>
      <c r="C27" s="10" t="s">
        <v>356</v>
      </c>
      <c r="D27" s="10" t="n">
        <v>1.48E-008</v>
      </c>
      <c r="E27" s="10" t="n">
        <v>1.38E-008</v>
      </c>
      <c r="F27" s="10" t="s">
        <v>2117</v>
      </c>
      <c r="G27" s="26" t="n">
        <f aca="false">IF(AND(ISNUMBER(D27),ISNUMBER(E27)),IF(D27&lt;&gt;0,E27/D27,""),"")</f>
        <v>0.932432432432432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80"/>
    <col collapsed="false" customWidth="true" hidden="false" outlineLevel="0" max="4" min="4" style="0" width="10"/>
  </cols>
  <sheetData>
    <row r="1" customFormat="false" ht="15" hidden="false" customHeight="false" outlineLevel="0" collapsed="false">
      <c r="A1" s="9" t="s">
        <v>2118</v>
      </c>
      <c r="B1" s="9" t="s">
        <v>2119</v>
      </c>
      <c r="C1" s="9" t="s">
        <v>435</v>
      </c>
      <c r="D1" s="9" t="s">
        <v>19</v>
      </c>
    </row>
    <row r="2" customFormat="false" ht="15" hidden="false" customHeight="false" outlineLevel="0" collapsed="false">
      <c r="A2" s="10" t="s">
        <v>2120</v>
      </c>
      <c r="B2" s="10" t="s">
        <v>2121</v>
      </c>
      <c r="C2" s="10" t="s">
        <v>2122</v>
      </c>
      <c r="D2" s="10" t="s">
        <v>182</v>
      </c>
    </row>
    <row r="3" customFormat="false" ht="15" hidden="false" customHeight="false" outlineLevel="0" collapsed="false">
      <c r="A3" s="10" t="s">
        <v>2120</v>
      </c>
      <c r="B3" s="10" t="s">
        <v>2123</v>
      </c>
      <c r="C3" s="10" t="s">
        <v>2124</v>
      </c>
      <c r="D3" s="10" t="s">
        <v>178</v>
      </c>
    </row>
    <row r="4" customFormat="false" ht="15" hidden="false" customHeight="false" outlineLevel="0" collapsed="false">
      <c r="A4" s="10" t="s">
        <v>2120</v>
      </c>
      <c r="B4" s="10" t="s">
        <v>2125</v>
      </c>
      <c r="C4" s="10" t="s">
        <v>2126</v>
      </c>
      <c r="D4" s="10"/>
    </row>
    <row r="5" customFormat="false" ht="15" hidden="false" customHeight="false" outlineLevel="0" collapsed="false">
      <c r="A5" s="10" t="s">
        <v>2120</v>
      </c>
      <c r="B5" s="10" t="s">
        <v>2127</v>
      </c>
      <c r="C5" s="10" t="n">
        <v>0.8206</v>
      </c>
      <c r="D5" s="10"/>
    </row>
    <row r="6" customFormat="false" ht="15" hidden="false" customHeight="false" outlineLevel="0" collapsed="false">
      <c r="A6" s="10" t="s">
        <v>2120</v>
      </c>
      <c r="B6" s="10" t="s">
        <v>2128</v>
      </c>
      <c r="C6" s="10" t="n">
        <v>0.7947</v>
      </c>
      <c r="D6" s="10"/>
    </row>
    <row r="7" customFormat="false" ht="15" hidden="false" customHeight="false" outlineLevel="0" collapsed="false">
      <c r="A7" s="10" t="s">
        <v>2120</v>
      </c>
      <c r="B7" s="10" t="s">
        <v>2129</v>
      </c>
      <c r="C7" s="10" t="s">
        <v>2130</v>
      </c>
      <c r="D7" s="10"/>
    </row>
    <row r="8" customFormat="false" ht="15" hidden="false" customHeight="false" outlineLevel="0" collapsed="false">
      <c r="A8" s="10" t="s">
        <v>2120</v>
      </c>
      <c r="B8" s="10" t="s">
        <v>2131</v>
      </c>
      <c r="C8" s="10" t="n">
        <v>2.86</v>
      </c>
      <c r="D8" s="10"/>
    </row>
    <row r="9" customFormat="false" ht="15" hidden="false" customHeight="false" outlineLevel="0" collapsed="false">
      <c r="A9" s="10" t="s">
        <v>2120</v>
      </c>
      <c r="B9" s="10" t="s">
        <v>2132</v>
      </c>
      <c r="C9" s="10" t="s">
        <v>2133</v>
      </c>
      <c r="D9" s="10"/>
    </row>
    <row r="10" customFormat="false" ht="15" hidden="false" customHeight="false" outlineLevel="0" collapsed="false">
      <c r="A10" s="10" t="s">
        <v>2120</v>
      </c>
      <c r="B10" s="10" t="s">
        <v>2134</v>
      </c>
      <c r="C10" s="10" t="s">
        <v>2135</v>
      </c>
      <c r="D10" s="10"/>
    </row>
    <row r="11" customFormat="false" ht="15" hidden="false" customHeight="false" outlineLevel="0" collapsed="false">
      <c r="A11" s="10" t="s">
        <v>2136</v>
      </c>
      <c r="B11" s="10" t="s">
        <v>2137</v>
      </c>
      <c r="C11" s="10" t="n">
        <v>0.9933</v>
      </c>
      <c r="D11" s="10" t="s">
        <v>178</v>
      </c>
    </row>
    <row r="12" customFormat="false" ht="15" hidden="false" customHeight="false" outlineLevel="0" collapsed="false">
      <c r="A12" s="10" t="s">
        <v>2136</v>
      </c>
      <c r="B12" s="10" t="s">
        <v>2138</v>
      </c>
      <c r="C12" s="10" t="n">
        <v>0.9983</v>
      </c>
      <c r="D12" s="10"/>
    </row>
    <row r="13" customFormat="false" ht="15" hidden="false" customHeight="false" outlineLevel="0" collapsed="false">
      <c r="A13" s="10" t="s">
        <v>2136</v>
      </c>
      <c r="B13" s="10" t="s">
        <v>2139</v>
      </c>
      <c r="C13" s="10" t="s">
        <v>2140</v>
      </c>
      <c r="D13" s="10"/>
    </row>
    <row r="14" customFormat="false" ht="15" hidden="false" customHeight="false" outlineLevel="0" collapsed="false">
      <c r="A14" s="10" t="s">
        <v>2136</v>
      </c>
      <c r="B14" s="10" t="s">
        <v>2141</v>
      </c>
      <c r="C14" s="10" t="s">
        <v>2142</v>
      </c>
      <c r="D14" s="10"/>
    </row>
    <row r="15" customFormat="false" ht="15" hidden="false" customHeight="false" outlineLevel="0" collapsed="false">
      <c r="A15" s="10" t="s">
        <v>2136</v>
      </c>
      <c r="B15" s="10" t="s">
        <v>2143</v>
      </c>
      <c r="C15" s="10" t="n">
        <v>0.7416</v>
      </c>
      <c r="D15" s="10"/>
    </row>
    <row r="16" customFormat="false" ht="15" hidden="false" customHeight="false" outlineLevel="0" collapsed="false">
      <c r="A16" s="10" t="s">
        <v>2136</v>
      </c>
      <c r="B16" s="10" t="s">
        <v>2144</v>
      </c>
      <c r="C16" s="10" t="n">
        <v>0.9312</v>
      </c>
      <c r="D16" s="10"/>
    </row>
    <row r="17" customFormat="false" ht="23.85" hidden="false" customHeight="false" outlineLevel="0" collapsed="false">
      <c r="A17" s="10" t="s">
        <v>2136</v>
      </c>
      <c r="B17" s="10" t="s">
        <v>369</v>
      </c>
      <c r="C17" s="10" t="s">
        <v>2145</v>
      </c>
      <c r="D17" s="10"/>
    </row>
    <row r="18" customFormat="false" ht="15" hidden="false" customHeight="false" outlineLevel="0" collapsed="false">
      <c r="A18" s="10" t="s">
        <v>2146</v>
      </c>
      <c r="B18" s="10" t="s">
        <v>2147</v>
      </c>
      <c r="C18" s="10" t="s">
        <v>2148</v>
      </c>
      <c r="D18" s="10" t="s">
        <v>268</v>
      </c>
    </row>
    <row r="19" customFormat="false" ht="15" hidden="false" customHeight="false" outlineLevel="0" collapsed="false">
      <c r="A19" s="10" t="s">
        <v>2146</v>
      </c>
      <c r="B19" s="10" t="s">
        <v>2149</v>
      </c>
      <c r="C19" s="10" t="s">
        <v>2150</v>
      </c>
      <c r="D19" s="10" t="s">
        <v>268</v>
      </c>
    </row>
    <row r="20" customFormat="false" ht="15" hidden="false" customHeight="false" outlineLevel="0" collapsed="false">
      <c r="A20" s="10" t="s">
        <v>2146</v>
      </c>
      <c r="B20" s="10" t="s">
        <v>2151</v>
      </c>
      <c r="C20" s="10" t="s">
        <v>2152</v>
      </c>
      <c r="D20" s="10" t="s">
        <v>268</v>
      </c>
    </row>
    <row r="21" customFormat="false" ht="15" hidden="false" customHeight="false" outlineLevel="0" collapsed="false">
      <c r="A21" s="10" t="s">
        <v>2146</v>
      </c>
      <c r="B21" s="10" t="s">
        <v>2153</v>
      </c>
      <c r="C21" s="10" t="s">
        <v>2154</v>
      </c>
      <c r="D21" s="10"/>
    </row>
    <row r="22" customFormat="false" ht="15" hidden="false" customHeight="false" outlineLevel="0" collapsed="false">
      <c r="A22" s="10" t="s">
        <v>2146</v>
      </c>
      <c r="B22" s="10" t="s">
        <v>2155</v>
      </c>
      <c r="C22" s="10" t="s">
        <v>2156</v>
      </c>
      <c r="D22" s="10"/>
    </row>
    <row r="23" customFormat="false" ht="15" hidden="false" customHeight="false" outlineLevel="0" collapsed="false">
      <c r="A23" s="10" t="s">
        <v>2146</v>
      </c>
      <c r="B23" s="10" t="s">
        <v>2157</v>
      </c>
      <c r="C23" s="10" t="s">
        <v>2158</v>
      </c>
      <c r="D23" s="10"/>
    </row>
    <row r="24" customFormat="false" ht="23.85" hidden="false" customHeight="false" outlineLevel="0" collapsed="false">
      <c r="A24" s="10" t="s">
        <v>2146</v>
      </c>
      <c r="B24" s="10" t="s">
        <v>2159</v>
      </c>
      <c r="C24" s="10" t="s">
        <v>2160</v>
      </c>
      <c r="D24" s="10"/>
    </row>
    <row r="25" customFormat="false" ht="23.85" hidden="false" customHeight="false" outlineLevel="0" collapsed="false">
      <c r="A25" s="10" t="s">
        <v>2146</v>
      </c>
      <c r="B25" s="10" t="s">
        <v>2161</v>
      </c>
      <c r="C25" s="10" t="s">
        <v>2162</v>
      </c>
      <c r="D25" s="10" t="s">
        <v>276</v>
      </c>
    </row>
    <row r="26" customFormat="false" ht="23.85" hidden="false" customHeight="false" outlineLevel="0" collapsed="false">
      <c r="A26" s="10" t="s">
        <v>2146</v>
      </c>
      <c r="B26" s="10" t="s">
        <v>2163</v>
      </c>
      <c r="C26" s="10" t="s">
        <v>2164</v>
      </c>
      <c r="D26" s="10" t="s">
        <v>268</v>
      </c>
    </row>
    <row r="27" customFormat="false" ht="35.05" hidden="false" customHeight="false" outlineLevel="0" collapsed="false">
      <c r="A27" s="10" t="s">
        <v>2146</v>
      </c>
      <c r="B27" s="10" t="s">
        <v>2165</v>
      </c>
      <c r="C27" s="10" t="s">
        <v>2166</v>
      </c>
      <c r="D27"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6"/>
    <col collapsed="false" customWidth="true" hidden="false" outlineLevel="0" max="3" min="3" style="0" width="40"/>
    <col collapsed="false" customWidth="true" hidden="false" outlineLevel="0" max="4" min="4" style="0" width="10"/>
    <col collapsed="false" customWidth="true" hidden="false" outlineLevel="0" max="5" min="5" style="0" width="30"/>
  </cols>
  <sheetData>
    <row r="1" customFormat="false" ht="23.85" hidden="false" customHeight="false" outlineLevel="0" collapsed="false">
      <c r="A1" s="9" t="s">
        <v>2167</v>
      </c>
      <c r="B1" s="9" t="s">
        <v>2168</v>
      </c>
      <c r="C1" s="9" t="s">
        <v>2169</v>
      </c>
      <c r="D1" s="9" t="s">
        <v>2170</v>
      </c>
      <c r="E1" s="9" t="s">
        <v>2171</v>
      </c>
    </row>
    <row r="2" customFormat="false" ht="15" hidden="false" customHeight="false" outlineLevel="0" collapsed="false">
      <c r="A2" s="10" t="s">
        <v>2172</v>
      </c>
      <c r="B2" s="10" t="s">
        <v>2173</v>
      </c>
      <c r="C2" s="10" t="s">
        <v>2174</v>
      </c>
      <c r="D2" s="11"/>
      <c r="E2" s="11"/>
    </row>
    <row r="3" customFormat="false" ht="15" hidden="false" customHeight="false" outlineLevel="0" collapsed="false">
      <c r="A3" s="10" t="s">
        <v>2175</v>
      </c>
      <c r="B3" s="10" t="s">
        <v>2176</v>
      </c>
      <c r="C3" s="10" t="s">
        <v>2177</v>
      </c>
      <c r="D3" s="11"/>
      <c r="E3" s="11"/>
    </row>
    <row r="4" customFormat="false" ht="15" hidden="false" customHeight="false" outlineLevel="0" collapsed="false">
      <c r="A4" s="10" t="s">
        <v>2178</v>
      </c>
      <c r="B4" s="10" t="s">
        <v>2179</v>
      </c>
      <c r="C4" s="10" t="s">
        <v>2180</v>
      </c>
      <c r="D4" s="11"/>
      <c r="E4" s="11"/>
    </row>
    <row r="5" customFormat="false" ht="15" hidden="false" customHeight="false" outlineLevel="0" collapsed="false">
      <c r="A5" s="10" t="s">
        <v>2181</v>
      </c>
      <c r="B5" s="10" t="s">
        <v>2182</v>
      </c>
      <c r="C5" s="10" t="s">
        <v>2183</v>
      </c>
      <c r="D5" s="11"/>
      <c r="E5" s="11"/>
    </row>
    <row r="6" customFormat="false" ht="23.85" hidden="false" customHeight="false" outlineLevel="0" collapsed="false">
      <c r="A6" s="10" t="s">
        <v>2184</v>
      </c>
      <c r="B6" s="10" t="s">
        <v>2185</v>
      </c>
      <c r="C6" s="10" t="s">
        <v>2186</v>
      </c>
      <c r="D6" s="11"/>
      <c r="E6" s="11"/>
    </row>
    <row r="7" customFormat="false" ht="23.85" hidden="false" customHeight="false" outlineLevel="0" collapsed="false">
      <c r="A7" s="10" t="s">
        <v>2187</v>
      </c>
      <c r="B7" s="10" t="s">
        <v>2188</v>
      </c>
      <c r="C7" s="10" t="s">
        <v>2189</v>
      </c>
      <c r="D7" s="11"/>
      <c r="E7" s="11"/>
    </row>
    <row r="8" customFormat="false" ht="15" hidden="false" customHeight="false" outlineLevel="0" collapsed="false">
      <c r="A8" s="10" t="s">
        <v>2190</v>
      </c>
      <c r="B8" s="10" t="s">
        <v>2191</v>
      </c>
      <c r="C8" s="10" t="s">
        <v>2192</v>
      </c>
      <c r="D8" s="11"/>
      <c r="E8" s="11"/>
    </row>
    <row r="9" customFormat="false" ht="23.85" hidden="false" customHeight="false" outlineLevel="0" collapsed="false">
      <c r="A9" s="10" t="s">
        <v>2193</v>
      </c>
      <c r="B9" s="10" t="s">
        <v>2194</v>
      </c>
      <c r="C9" s="10" t="s">
        <v>2195</v>
      </c>
      <c r="D9" s="11"/>
      <c r="E9" s="11"/>
    </row>
    <row r="10" customFormat="false" ht="23.85" hidden="false" customHeight="false" outlineLevel="0" collapsed="false">
      <c r="A10" s="10" t="s">
        <v>2196</v>
      </c>
      <c r="B10" s="10" t="s">
        <v>734</v>
      </c>
      <c r="C10" s="10" t="s">
        <v>2197</v>
      </c>
      <c r="D10" s="11"/>
      <c r="E10" s="11"/>
    </row>
    <row r="11" customFormat="false" ht="23.85" hidden="false" customHeight="false" outlineLevel="0" collapsed="false">
      <c r="A11" s="10" t="s">
        <v>2198</v>
      </c>
      <c r="B11" s="10" t="s">
        <v>2199</v>
      </c>
      <c r="C11" s="10" t="s">
        <v>2200</v>
      </c>
      <c r="D11" s="11"/>
      <c r="E11"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2026-10-17T17:24:51Z</dcterms:created>
  <dc:creator/>
  <dc:description/>
  <dc:language>en-US</dc:language>
  <cp:lastModifiedBy/>
  <dcterms:modified xsi:type="dcterms:W3CDTF">2026-10-17T17:24:52Z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